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min\K4-L3-CS13-NaCl-AI-Roadmap\"/>
    </mc:Choice>
  </mc:AlternateContent>
  <xr:revisionPtr revIDLastSave="0" documentId="13_ncr:1_{F68988B4-1F4A-4D97-B438-500F342231F0}" xr6:coauthVersionLast="47" xr6:coauthVersionMax="47" xr10:uidLastSave="{00000000-0000-0000-0000-000000000000}"/>
  <bookViews>
    <workbookView xWindow="-108" yWindow="-108" windowWidth="23256" windowHeight="12576" tabRatio="500" activeTab="2" xr2:uid="{00000000-000D-0000-FFFF-FFFF00000000}"/>
  </bookViews>
  <sheets>
    <sheet name="0_Hướng dẫn" sheetId="1" r:id="rId1"/>
    <sheet name="0_Đầu vào" sheetId="2" r:id="rId2"/>
    <sheet name="1_Danh sách việc" sheetId="3" r:id="rId3"/>
    <sheet name="2_Mức tự động" sheetId="4" r:id="rId4"/>
    <sheet name="3_Bảng lộ trình" sheetId="5" r:id="rId5"/>
    <sheet name="4_Rà soát" sheetId="6" r:id="rId6"/>
    <sheet name="5_Slide lãnh đạo" sheetId="7" r:id="rId7"/>
    <sheet name="6_Tự kiểm tra" sheetId="8" r:id="rId8"/>
    <sheet name="7_Thang điểm"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9" l="1"/>
  <c r="B10" i="9"/>
  <c r="B10" i="8"/>
  <c r="C10" i="8" s="1"/>
  <c r="B9" i="8"/>
  <c r="C9" i="8" s="1"/>
  <c r="B8" i="8"/>
  <c r="C8" i="8" s="1"/>
  <c r="C8" i="7"/>
  <c r="D8" i="7" s="1"/>
  <c r="C7" i="7"/>
  <c r="D7" i="7" s="1"/>
  <c r="C6" i="7"/>
  <c r="D6" i="7" s="1"/>
  <c r="C5" i="7"/>
  <c r="D5" i="7" s="1"/>
  <c r="C4" i="7"/>
  <c r="D4" i="7" s="1"/>
  <c r="M8" i="4"/>
  <c r="J8" i="4"/>
  <c r="K8" i="4" s="1"/>
  <c r="L8" i="4" s="1"/>
  <c r="M7" i="4"/>
  <c r="J7" i="4"/>
  <c r="K7" i="4" s="1"/>
  <c r="L7" i="4" s="1"/>
  <c r="M6" i="4"/>
  <c r="B7" i="8" s="1"/>
  <c r="C7" i="8" s="1"/>
  <c r="J6" i="4"/>
  <c r="K6" i="4" s="1"/>
  <c r="L6" i="4" s="1"/>
  <c r="K5" i="4"/>
  <c r="L5" i="4" s="1"/>
  <c r="J5" i="4"/>
  <c r="O14" i="3"/>
  <c r="M14" i="3"/>
  <c r="N14" i="3" s="1"/>
  <c r="O13" i="3"/>
  <c r="M13" i="3"/>
  <c r="N13" i="3" s="1"/>
  <c r="O12" i="3"/>
  <c r="M12" i="3"/>
  <c r="N12" i="3" s="1"/>
  <c r="O11" i="3"/>
  <c r="M11" i="3"/>
  <c r="N11" i="3" s="1"/>
  <c r="O10" i="3"/>
  <c r="M10" i="3"/>
  <c r="O9" i="3"/>
  <c r="M9" i="3"/>
  <c r="O8" i="3"/>
  <c r="M8" i="3"/>
  <c r="O7" i="3"/>
  <c r="M7" i="3"/>
  <c r="N7" i="3" s="1"/>
  <c r="O6" i="3"/>
  <c r="M6" i="3"/>
  <c r="O5" i="3"/>
  <c r="B6" i="8" s="1"/>
  <c r="M5" i="3"/>
  <c r="N5" i="3" s="1"/>
  <c r="B12" i="2"/>
  <c r="N9" i="3" l="1"/>
  <c r="N8" i="3"/>
  <c r="N10" i="3"/>
  <c r="B5" i="8"/>
  <c r="C6" i="8" s="1"/>
  <c r="N6" i="3"/>
  <c r="B11" i="8"/>
  <c r="C11" i="8" s="1"/>
  <c r="B12" i="8"/>
  <c r="C12" i="8" s="1"/>
  <c r="C5" i="8"/>
</calcChain>
</file>

<file path=xl/sharedStrings.xml><?xml version="1.0" encoding="utf-8"?>
<sst xmlns="http://schemas.openxmlformats.org/spreadsheetml/2006/main" count="310" uniqueCount="295">
  <si>
    <t>CS13 · Lộ trình sản phẩm AI — File thực hành · Đề 1 · SổSạch</t>
  </si>
  <si>
    <t>AI in Action · Track 1 · Khóa 4. FILE LÀM BÀI CỦA NHÓM · Đề 1 · SổSạch. Dữ liệu của đề nằm trong file CS13_HoSoTinhHuong.pdf; file CS13_Roadmap_Mau.xlsx là bản mẫu đã điền (một sản phẩm khác) để xem cách điền.</t>
  </si>
  <si>
    <t>Luật chơi: CHỈ điền vào ô màu VÀNG. Ô màu XANH là công thức và đã được khóa. Bắt đầu bằng trang 0_Đầu vào (Nhiệm vụ 0: đọc hồ sơ tình huống).</t>
  </si>
  <si>
    <t>Thứ tự làm: 0 Đọc hồ sơ → 1 Danh sách việc → 2 Mức tự động → 3 Bảng lộ trình → 4 Rà soát → 6 Tự kiểm tra. Trang 5 (slide lãnh đạo) làm ở nhà.</t>
  </si>
  <si>
    <t>Số liệu kinh tế của đề đã điền sẵn ở trang 2, dòng 12–20. Không cần file của buổi nào khác: mọi dữ liệu cần dùng nằm trong hồ sơ tình huống, Đề 1.</t>
  </si>
  <si>
    <t>Lộ trình theo GIẢ THUYẾT: mỗi hạng mục phải trả lời 'Ta tin rằng làm X sẽ giúp Y đạt Z; biết đúng khi chỉ số W đạt ngưỡng V'.</t>
  </si>
  <si>
    <t>Tên file nộp: [Nhom]_CS13.xlsx · Nộp bản có Nhiệm vụ 1–4 lên VLearn trước 18:00 ngày 16/10. Trang 5 (Nhiệm vụ 5, làm ở nhà) nộp trước 23:59 ngày 19/10.</t>
  </si>
  <si>
    <t>Tuân thủ: Luật Trí tuệ nhân tạo số 134/2025/QH15 (hiệu lực 01/3/2026) chia hệ thống AI thành 3 mức rủi ro và yêu cầu người dùng được thông tin khi tương tác với AI. Đọc văn bản gốc trước khi ghi vào bài.</t>
  </si>
  <si>
    <t>Chú thích màu:</t>
  </si>
  <si>
    <t>Ô điền giả định (không khóa)</t>
  </si>
  <si>
    <t>Ô công thức (tự tính, đã khóa)</t>
  </si>
  <si>
    <t>0 · Nhiệm vụ 0: đọc hồ sơ tình huống, Đề 1 (5 phút)</t>
  </si>
  <si>
    <t>Cả nhóm đọc cùng một hồ sơ trước khi điền. Nhiệm vụ 0 không tính điểm; đánh dấu "Có" khi cả nhóm đã đọc mục đó.</t>
  </si>
  <si>
    <t>Mục trong hồ sơ tình huống</t>
  </si>
  <si>
    <t>Nhóm đã đọc chưa?</t>
  </si>
  <si>
    <t>Dùng ở đâu trong file</t>
  </si>
  <si>
    <t>Lưu ý</t>
  </si>
  <si>
    <t>Ghi chú của nhóm</t>
  </si>
  <si>
    <t>Số liệu kinh tế của đề (9 dòng)</t>
  </si>
  <si>
    <t>Có</t>
  </si>
  <si>
    <t>Đã điền sẵn ở trang 2, dòng 12–20: chi phí mỗi việc, biên lợi nhuận, điều kiện dừng</t>
  </si>
  <si>
    <t>Đọc để hiểu; không cần chép</t>
  </si>
  <si>
    <t>Doanh thu 2.256 đ/việc (3.970.000 ÷ 1.760); hết tiền tháng 7 nếu xấu</t>
  </si>
  <si>
    <t>Bối cảnh, sản phẩm, "1 việc" là gì</t>
  </si>
  <si>
    <t>Giả thuyết và chỉ số ở trang 1</t>
  </si>
  <si>
    <t>Viết giả thuyết theo đúng "1 việc" của đề</t>
  </si>
  <si>
    <t>1 việc = 1 hoá đơn đọc, đối chiếu, nhập phần mềm kế toán</t>
  </si>
  <si>
    <t>6 việc gợi ý</t>
  </si>
  <si>
    <t>Trang 1, cột B–C; nhóm được thêm việc của mình</t>
  </si>
  <si>
    <t>Giữ, bỏ hay đổi thứ tự đều phải ghi lý do ở cột Q</t>
  </si>
  <si>
    <t>Giữ 6 việc, thêm việc 7: kiểm chứng doanh thu bình quân</t>
  </si>
  <si>
    <t>Kết quả đánh giá đã có (bộ đề, cổng phát hành)</t>
  </si>
  <si>
    <t>Cổng đánh giá ở trang 2; việc cần làm trước ở trang 3</t>
  </si>
  <si>
    <t>Đề 2, 3: kết luận chưa phải "Phát hành" → có việc phải làm trước</t>
  </si>
  <si>
    <t>Bản 2 đã Phát hành: 97,3%, 0 lỗi nghiêm trọng, kappa 0,90</t>
  </si>
  <si>
    <t>Chuyên gia và số giờ của họ</t>
  </si>
  <si>
    <t>Dòng "Điều kiện cần" ở trang 3; ô "Cần gì" ở trang 5</t>
  </si>
  <si>
    <t>Dẫn đúng số giờ trong hồ sơ</t>
  </si>
  <si>
    <t>1 vòng chấm 8,5 giờ; chị Hạnh 3 giờ/tuần + anh Tùng → ≈ 2 tuần/vòng</t>
  </si>
  <si>
    <t>Gợi ý về người duyệt và mức tự động</t>
  </si>
  <si>
    <t>Trang 2, cột H và I</t>
  </si>
  <si>
    <t>Đề 3: bác sĩ của bệnh viện không tính vào chi phí</t>
  </si>
  <si>
    <t>Người duyệt = kế toán viên công ty; Mức 1 ≈ 20%, Mức 2 ≈ 10%</t>
  </si>
  <si>
    <t>Số mục nhóm đã đọc</t>
  </si>
  <si>
    <t>Đủ 6/6 thì sang Nhiệm vụ 1.</t>
  </si>
  <si>
    <t>1 · Danh sách việc và chấm điểm ưu tiên</t>
  </si>
  <si>
    <t>Điểm = Độ phủ × Tác động × Mức tự tin ÷ Công sức × (0,5 + 0,5 × sẵn sàng trung bình của dữ liệu và đánh giá) × (1 − 0,5 × rủi ro bị 'nuốt')</t>
  </si>
  <si>
    <t>STT</t>
  </si>
  <si>
    <t>Việc</t>
  </si>
  <si>
    <t>Kết quả muốn đạt</t>
  </si>
  <si>
    <t>Giả thuyết (Ta tin rằng…)</t>
  </si>
  <si>
    <t>Chỉ số thành công và ngưỡng</t>
  </si>
  <si>
    <t>Độ phủ 1–5</t>
  </si>
  <si>
    <t>Tác động 1–5</t>
  </si>
  <si>
    <t>Mức tự tin 0,5 / 0,8 / 1</t>
  </si>
  <si>
    <t>Công sức 1–5</t>
  </si>
  <si>
    <t>Sẵn sàng dữ liệu 0–1</t>
  </si>
  <si>
    <t>Sẵn sàng đánh giá 0–1</t>
  </si>
  <si>
    <t>Rủi ro bị nuốt 0–1</t>
  </si>
  <si>
    <t>ĐIỂM</t>
  </si>
  <si>
    <t>Xếp hạng</t>
  </si>
  <si>
    <t>Chỉ số có con số?</t>
  </si>
  <si>
    <t>Tự làm / Mua / Chờ / Không làm</t>
  </si>
  <si>
    <t>Lý do (đổi thứ tự, chọn mua hay chờ…)</t>
  </si>
  <si>
    <t>Đọc ảnh hoá đơn giấy, ảnh chụp</t>
  </si>
  <si>
    <t>Giảm 50% giờ nhập hoá đơn ảnh</t>
  </si>
  <si>
    <t>Ta tin rằng bản 2 đọc ảnh theo hai bước (đã qua cổng 97,3%) sẽ giúp kế toán viên giảm 50% giờ nhập hoá đơn ảnh mà không sai tiền</t>
  </si>
  <si>
    <t>Giờ nhập hoá đơn ảnh/tuần giảm ≥ 50% so với trước thử nghiệm; đọc đúng MST và tổng tiền ≥ 99% trên ≥ 1.000 ảnh; lỗi tiền lọt = 0</t>
  </si>
  <si>
    <t>Tự làm</t>
  </si>
  <si>
    <t>Hạng 5 dù là lõi sản phẩm: bản 2 đã xây xong, việc còn lại là theo dõi khi lên mức. Rủi ro bị nuốt 0,3: mô hình nền đọc ảnh ngày càng tốt</t>
  </si>
  <si>
    <t>Gắn cờ hoá đơn cần người xem</t>
  </si>
  <si>
    <t>Kế toán chỉ xem khoảng 20% hoá đơn</t>
  </si>
  <si>
    <t>Ta tin rằng gắn cờ đúng các hoá đơn rủi ro sẽ giúp kế toán chỉ xem ~20% hoá đơn mà không lọt lỗi MST/tiền; đây là việc quyết định chi phí mỗi việc</t>
  </si>
  <si>
    <t>Tỷ lệ hoá đơn phải xem ≤ 20% (Mức 1), ≤ 10% (Mức 2); 100% hoá đơn sai MST/tiền bị gắn cờ trên ≥ 3.000 hoá đơn; cờ thừa ≤ 10%</t>
  </si>
  <si>
    <t>Hạng 2: là cổng để lên Mức 1, 2. Luật gắn cờ theo từng văn phòng là phần khác biệt, khó bị nuốt. Chị Hạnh: cờ thừa ít thì được, nửa số hoá đơn thì không</t>
  </si>
  <si>
    <t>Nhập tự động hoá đơn điện tử (tệp gốc)</t>
  </si>
  <si>
    <t>Giảm 70% thời gian nhập hoá đơn điện tử</t>
  </si>
  <si>
    <t>Ta tin rằng nối tệp gốc HĐĐT vào tính năng nhập có sẵn của phần mềm kế toán sẽ giảm 70% thời gian nhập HĐĐT với công sức thấp</t>
  </si>
  <si>
    <t>Thời gian nhập HĐĐT giảm ≥ 70%; ≥ 95% tệp gốc nhập không cần sửa trên ≥ 2.000 hoá đơn</t>
  </si>
  <si>
    <t>Mua</t>
  </si>
  <si>
    <t>Hạng 3 nhưng không tự xây: phần mềm kế toán đã có sẵn nhập từ tệp gốc (rủi ro bị nuốt 0,9). Chỉ làm cầu nối, đưa vào tầng Tiếp theo</t>
  </si>
  <si>
    <t>Đối chiếu mã số thuế người bán</t>
  </si>
  <si>
    <t>Không nhập nhầm người bán</t>
  </si>
  <si>
    <t>Ta tin rằng tra MST qua dịch vụ tra cứu trước khi nhập sẽ đưa lỗi nhầm người bán về 0, đúng luật của chị Hạnh: sai MST không được lần nào</t>
  </si>
  <si>
    <t>Nhập nhầm người bán = 0 trên ≥ 3.000 hoá đơn (chứng minh &lt; 0,1%); 100% hoá đơn được tra MST trước khi nhập; MST ngừng hoạt động bị gắn cờ 100%</t>
  </si>
  <si>
    <t>Hạng 1, làm đầu tiên: dịch vụ tra cứu MST có sẵn để tích hợp nên mua, không tự xây. Là điều kiện an toàn cho mọi mức tự động</t>
  </si>
  <si>
    <t>Gợi ý tài khoản hạch toán</t>
  </si>
  <si>
    <t>Giảm 30% thời gian hạch toán</t>
  </si>
  <si>
    <t>Ta tin rằng khi có đủ dữ liệu hạch toán cũ, gợi ý tài khoản sẽ giảm 30% thời gian hạch toán của kế toán viên</t>
  </si>
  <si>
    <t>Kế toán chấp nhận gợi ý ≥ 80%; thời gian hạch toán giảm ≥ 30%; cần ≥ 6 tháng dữ liệu hạch toán của ≥ 10 doanh nghiệp</t>
  </si>
  <si>
    <t>Chờ</t>
  </si>
  <si>
    <t>Hạng 6. Chờ: chưa có dữ liệu hạch toán của doanh nghiệp khách hàng. Bắt đầu thu dữ liệu (có đồng ý) từ tầng Tiếp theo, thử ở Sau này</t>
  </si>
  <si>
    <t>Trả lời câu hỏi thuế chung cho khách của văn phòng</t>
  </si>
  <si>
    <t>Bớt cuộc gọi hỏi đáp</t>
  </si>
  <si>
    <t>Ta tin rằng trả lời câu hỏi thuế chung sẽ bớt cuộc gọi hỏi đáp cho văn phòng</t>
  </si>
  <si>
    <t>Cuộc gọi hỏi đáp giảm ≥ 30% sau 2 tháng</t>
  </si>
  <si>
    <t>Không làm</t>
  </si>
  <si>
    <t>Hạng 7. Không làm: lệch khỏi '1 việc' (hoá đơn), không có bộ đề, rủi ro bị nuốt 0,9 vì trợ lý chung đã trả lời được; trả lời sai thuế là rủi ro pháp lý</t>
  </si>
  <si>
    <t>Kiểm chứng doanh thu bình quân trên ≥ 10 văn phòng nhiều quy mô</t>
  </si>
  <si>
    <t>Biết văn phòng nhỏ có trả đủ tiền không, trước khi hết tiền ở tháng 7</t>
  </si>
  <si>
    <t>Ta tin rằng văn phòng ngoài nhóm dùng nhiều vẫn trả đủ vì tiết kiệm giờ nhập liệu; cần kiểm chứng vì 65% doanh thu đến từ 30% văn phòng dùng nhiều</t>
  </si>
  <si>
    <t>≥ 10 văn phòng trả tiền; doanh thu bình quân ≥ 3,97 triệu và không dưới 3,71 triệu 2 tháng liên tiếp; văn phòng nhỏ giữ lại ≥ 70% sau 2 tháng</t>
  </si>
  <si>
    <t>Thêm việc: kiểm chứng biến nguy hiểm nhất (doanh thu bình quân) và điều kiện dừng 3,71 triệu. Không cần xây thêm tính năng</t>
  </si>
  <si>
    <t>2 · Lộ trình tăng dần mức tự động và cổng đánh giá</t>
  </si>
  <si>
    <t>Mỗi lần lên mức phải qua một cổng đánh giá bằng con số. Chưa qua cổng thì chưa lên mức, dù đã đến ngày. Mức tự động quyết định chi phí mỗi việc: xem cột H–L.</t>
  </si>
  <si>
    <t>Mức</t>
  </si>
  <si>
    <t>Tên mức</t>
  </si>
  <si>
    <t>AI làm gì</t>
  </si>
  <si>
    <t>Người làm gì</t>
  </si>
  <si>
    <t>Cổng đánh giá để lên mức này (chỉ số + ngưỡng + cỡ mẫu)</t>
  </si>
  <si>
    <t>Dữ liệu / hạ tầng / tuân thủ cần có</t>
  </si>
  <si>
    <t>Dự kiến (kế hoạch nội bộ, không phải cam kết)</t>
  </si>
  <si>
    <t>% việc có người duyệt</t>
  </si>
  <si>
    <t>Ai duyệt</t>
  </si>
  <si>
    <t>Chi phí mỗi việc (đ)</t>
  </si>
  <si>
    <t>Biên lợi nhuận gộp</t>
  </si>
  <si>
    <t>Biên ≥ 60%?</t>
  </si>
  <si>
    <t>Cổng có con số?</t>
  </si>
  <si>
    <t>Gợi ý</t>
  </si>
  <si>
    <t>AI đọc HĐĐT và ảnh, tra MST, điền sẵn vào phần mềm kế toán, gắn cờ</t>
  </si>
  <si>
    <t>Kế toán viên của công ty kiểm 100% trước khi nhập; tuần đầu chị Hạnh kiểm 1% hoá đơn thật, đếm riêng tỷ lệ cờ thừa</t>
  </si>
  <si>
    <t>— (mức khởi đầu: bản 2 đã qua cổng phát hành 97,3%, 0 lỗi nghiêm trọng, kappa 0,90)</t>
  </si>
  <si>
    <t>Kết nối phần mềm kế toán; tích hợp dịch vụ tra MST; nhật ký từng hoá đơn; thoả thuận bảo mật dữ liệu hoá đơn; báo văn phòng biết hoá đơn do AI đọc (Luật AI 134/2025/QH15)</t>
  </si>
  <si>
    <t>T1 (rút ngắn vì kịch bản xấu hết tiền tháng 7)</t>
  </si>
  <si>
    <t>Người của mình</t>
  </si>
  <si>
    <t>Hỗ trợ có duyệt</t>
  </si>
  <si>
    <t>AI tự nhập hoá đơn không bị gắn cờ</t>
  </si>
  <si>
    <t>Kế toán viên duyệt mọi hoá đơn gắn cờ (~10%) + mẫu ngẫu nhiên 10%; cảnh báo ngay khi có 1 lỗi MST/tiền</t>
  </si>
  <si>
    <t>Trên ≥ 3.000 hoá đơn thật đã kiểm 100% ở Mức 0: 0 lỗi MST/tiền lọt qua cờ (chứng minh &lt; 0,1%); tỷ lệ cờ ≤ 20%, cờ thừa ≤ 10%; bộ đề 40 ca ≥ 95%, kappa ≥ 0,6</t>
  </si>
  <si>
    <t>Bảng theo dõi tỷ lệ cờ và cờ thừa; hàng chờ duyệt hoá đơn gắn cờ; 1 vòng chấm bộ đề (8,5 giờ ≈ 2 tuần của chị Hạnh + anh Tùng)</t>
  </si>
  <si>
    <t>T2–T3</t>
  </si>
  <si>
    <t>Tự động một phần</t>
  </si>
  <si>
    <t>AI tự nhập, chỉ chuyển người hoá đơn gắn cờ; HĐĐT nhập qua tính năng có sẵn của phần mềm</t>
  </si>
  <si>
    <t>Kế toán viên duyệt hoá đơn gắn cờ (~7%) + mẫu 3%; chị Hạnh chấm lại bộ đề mỗi tháng</t>
  </si>
  <si>
    <t>Trên ≥ 10.000 hoá đơn ở Mức 1, ≥ 5 văn phòng: 0 lỗi MST/tiền (chứng minh &lt; 0,03%); kế toán sửa &lt; 2% trong mẫu; bộ đề mở rộng 100 ca ≥ 97%, 0 tầng tụt, tầng Nguy hiểm 100%</t>
  </si>
  <si>
    <t>Bộ đề lên 100 ca (thêm hoá đơn của văn phòng mới); quy trình xử lý khiếu nại; bắt đầu thu dữ liệu hạch toán có đồng ý của doanh nghiệp</t>
  </si>
  <si>
    <t>T4–T6</t>
  </si>
  <si>
    <t>Tự động có giám sát</t>
  </si>
  <si>
    <t>AI tự nhập HĐĐT tệp gốc đã khớp MST, không cần duyệt; ảnh chụp vẫn ở Mức 2</t>
  </si>
  <si>
    <t>Theo dõi bảng giám sát; kiểm mẫu 2% + hoá đơn gắn cờ (~3%); xử lý ngoại lệ</t>
  </si>
  <si>
    <t>Trên ≥ 30.000 HĐĐT ở Mức 2, ≥ 10 văn phòng: 0 lỗi MST/tiền (chứng minh &lt; 0,01%); khiếu nại của văn phòng = 0 trong 2 tháng</t>
  </si>
  <si>
    <t>Lưu vết để tra lại từng hoá đơn; rà mức rủi ro theo Luật AI 134/2025/QH15; doanh thu bình quân ≥ 3,71 triệu</t>
  </si>
  <si>
    <t>T8+ (chỉ khi qua điều kiện dừng ở ngày 90)</t>
  </si>
  <si>
    <t>SỐ LIỆU KINH TẾ CỦA ĐỀ (đã điền sẵn từ hồ sơ tình huống; sửa được nếu nhóm có lý do)</t>
  </si>
  <si>
    <t>Chi phí gọi AI / việc (đã tính gọi lại)</t>
  </si>
  <si>
    <t>Hồ sơ, bảng Số liệu kinh tế, dòng 1</t>
  </si>
  <si>
    <t>Hạ tầng + đánh giá + khác / việc</t>
  </si>
  <si>
    <t>dòng 2</t>
  </si>
  <si>
    <t>Số phút người duyệt / việc</t>
  </si>
  <si>
    <t>dòng 3</t>
  </si>
  <si>
    <t>Chi phí 1 giờ người duyệt (đ)</t>
  </si>
  <si>
    <t>dòng 4</t>
  </si>
  <si>
    <t>Doanh thu bình quân / khách / tháng (đ)</t>
  </si>
  <si>
    <t>dòng 5</t>
  </si>
  <si>
    <t>Số việc bình quân / khách / tháng</t>
  </si>
  <si>
    <t>dòng 6</t>
  </si>
  <si>
    <t>Biến nguy hiểm nhất</t>
  </si>
  <si>
    <t>Doanh thu bình quân (65% doanh thu đến từ 30% văn phòng dùng nhiều)</t>
  </si>
  <si>
    <t>dòng 7</t>
  </si>
  <si>
    <t>Điều kiện dừng đã chọn (theo đề)</t>
  </si>
  <si>
    <t>NẾU doanh thu bình quân dưới 3,71 triệu/văn phòng trong 2 tháng liên tiếp, trên ít nhất 10 văn phòng, THÌ dừng mở rộng</t>
  </si>
  <si>
    <t>dòng 8</t>
  </si>
  <si>
    <t>Kịch bản xấu hết tiền ở tháng</t>
  </si>
  <si>
    <t>dòng 9</t>
  </si>
  <si>
    <t>Ghi chú: người duyệt của mình là kế toán viên của công ty. Gợi ý của đề: Mức 1 duyệt khoảng 20%; Mức 2 khoảng 10%.</t>
  </si>
  <si>
    <t>3 · Bảng lộ trình theo giả thuyết: Bây giờ / Tiếp theo / Sau này</t>
  </si>
  <si>
    <t>Bây giờ = cam kết (0–3 tháng) · Tiếp theo = định hướng (3–6 tháng) · Sau này = khám phá (6–12 tháng). Càng xa càng ít chi tiết.</t>
  </si>
  <si>
    <t>Dòng</t>
  </si>
  <si>
    <t>Bây giờ (0–3 tháng)</t>
  </si>
  <si>
    <t>Tiếp theo (3–6 tháng)</t>
  </si>
  <si>
    <t>Sau này (6–12 tháng)</t>
  </si>
  <si>
    <t>Việc chính (lấy từ trang 1)</t>
  </si>
  <si>
    <t>Đối chiếu MST (hạng 1, mua dịch vụ tra cứu) + gắn cờ hoá đơn (hạng 2) + kiểm chứng doanh thu trên ≥ 10 văn phòng (hạng 4); đọc ảnh bản 2 chạy từ Mức 0 lên Mức 1</t>
  </si>
  <si>
    <t>Lên Mức 2; nối nhập HĐĐT qua tính năng có sẵn của phần mềm kế toán (hạng 3, mua); mở rộng 10 → 20 văn phòng</t>
  </si>
  <si>
    <t>Mức 3 cho HĐĐT tệp gốc; thử gợi ý tài khoản hạch toán khi đủ dữ liệu. Không làm hỏi đáp thuế: rủi ro bị nuốt 0,9</t>
  </si>
  <si>
    <t>Giả thuyết</t>
  </si>
  <si>
    <t>Ta tin rằng tra MST trước khi nhập và gắn cờ đúng sẽ giúp kế toán chỉ xem ~20% hoá đơn mà không lọt lỗi MST/tiền; văn phòng tiết kiệm giờ thì trả ≥ 3,97 triệu/tháng</t>
  </si>
  <si>
    <t>Gắn cờ đã đủ tin cậy thì giảm duyệt xuống 10% mà không tăng lỗi</t>
  </si>
  <si>
    <t>Có ≥ 6 tháng dữ liệu hạch toán thì gợi ý tài khoản giảm 30% thời gian hạch toán</t>
  </si>
  <si>
    <t>Nhập nhầm người bán = 0; hoá đơn phải xem ≤ 20%; cờ thừa ≤ 10%; ≥ 10 văn phòng trả tiền, doanh thu bình quân ≥ 3,97 triệu</t>
  </si>
  <si>
    <t>Hoá đơn phải xem ≤ 10%; thời gian nhập HĐĐT giảm ≥ 70%; giờ nhập ảnh giảm ≥ 50%</t>
  </si>
  <si>
    <t>Kế toán chấp nhận gợi ý ≥ 80%; ≥ 90% HĐĐT tự nhập không cần duyệt</t>
  </si>
  <si>
    <t>Mức tự động (trang 2)</t>
  </si>
  <si>
    <t>Mức 0 (tháng 1) → Mức 1 (tháng 2–3)</t>
  </si>
  <si>
    <t>Mức 2</t>
  </si>
  <si>
    <t>Mức 3 cho HĐĐT; ảnh chụp giữ Mức 2</t>
  </si>
  <si>
    <t>Cổng đánh giá</t>
  </si>
  <si>
    <t>≥ 3.000 hoá đơn thật: 0 lỗi MST/tiền lọt qua cờ; tỷ lệ cờ ≤ 20%; bộ đề 40 ca ≥ 95%, kappa ≥ 0,6</t>
  </si>
  <si>
    <t>≥ 10.000 hoá đơn ở Mức 1: 0 lỗi MST/tiền; kế toán sửa &lt; 2%; bộ đề 100 ca ≥ 97%, 0 tầng tụt</t>
  </si>
  <si>
    <t>≥ 30.000 HĐĐT, ≥ 10 văn phòng: 0 lỗi MST/tiền; khiếu nại = 0</t>
  </si>
  <si>
    <t>Điều kiện cần: dữ liệu / hạ tầng / tuân thủ</t>
  </si>
  <si>
    <t>Tích hợp phần mềm kế toán + dịch vụ tra MST; thoả thuận bảo mật dữ liệu hoá đơn; nhật ký; báo văn phòng biết AI đọc hoá đơn; chị Hạnh 3 giờ/tuần + anh Tùng (1 vòng chấm 8,5 giờ ≈ 2 tuần)</t>
  </si>
  <si>
    <t>Bộ đề lên 100 ca; hàng chờ duyệt cờ; thu dữ liệu hạch toán có đồng ý của doanh nghiệp</t>
  </si>
  <si>
    <t>≥ 6 tháng dữ liệu hạch toán; bảng giám sát; rà mức rủi ro theo Luật AI 134/2025/QH15</t>
  </si>
  <si>
    <t>Căn cứ kinh tế (số liệu của đề và trang 2)</t>
  </si>
  <si>
    <t>Doanh thu 2.256 đ/việc; Mức 0 chi phí 1.704 đ/việc, biên 24,5%; Mức 1 chi phí 704 đ/việc, biên 68,8% (trang 2). Kịch bản xấu hết tiền tháng 7 → Mức 0 chỉ 1 tháng, lên Mức 1 trước tháng 2</t>
  </si>
  <si>
    <t>Mức 2 chi phí 579 đ/việc, biên 74,3%; chỉ mở rộng khi doanh thu bình quân ≥ 3,71 triệu</t>
  </si>
  <si>
    <t>Mức 3 biên 77,1%; chỉ làm nếu tầng Tiếp theo giữ biên ≥ 60% và qua điều kiện dừng</t>
  </si>
  <si>
    <t>Điều kiện dừng / đổi hướng</t>
  </si>
  <si>
    <t>NẾU doanh thu bình quân &lt; 3,71 triệu/văn phòng 2 tháng liên tiếp trên ≥ 10 văn phòng THÌ dừng mở rộng; 1 lỗi MST/tiền lọt vào sổ khách → lùi về Mức 0, không lên mức</t>
  </si>
  <si>
    <t>Có lỗi MST/tiền lọt hoặc tỷ lệ cờ &gt; 20% → lùi về Mức 1; &gt; 30% văn phòng nhỏ bỏ dùng → đổi gói giá</t>
  </si>
  <si>
    <t>Phần mềm kế toán ra tính năng đọc ảnh, gắn cờ miễn phí → bỏ việc bị nuốt, dồn lực vào đối chiếu và gợi ý hạch toán</t>
  </si>
  <si>
    <t>4 · Lịch rà soát lộ trình</t>
  </si>
  <si>
    <t>Rà soát theo lịch VÀ mỗi khi có sự kiện. Ở mốc 30/60/90 chọn 1 trong 4: đi tiếp, sửa, đổi hướng, dừng.</t>
  </si>
  <si>
    <t>Mốc / sự kiện</t>
  </si>
  <si>
    <t>Nhìn vào chỉ số nào</t>
  </si>
  <si>
    <t>Quyết định có thể đưa ra</t>
  </si>
  <si>
    <t>Ai quyết</t>
  </si>
  <si>
    <t>Ngày 30</t>
  </si>
  <si>
    <t>Lỗi MST/tiền lọt (phải = 0); tỷ lệ cờ và cờ thừa do chị Hạnh đếm; giờ nhập ảnh và HĐĐT; số văn phòng đã ký</t>
  </si>
  <si>
    <t>Đi tiếp / Sửa (chỉnh ngưỡng gắn cờ nếu cờ thừa &gt; 10%)</t>
  </si>
  <si>
    <t>Quản lý sản phẩm + chị Hạnh</t>
  </si>
  <si>
    <t>Ngày 60</t>
  </si>
  <si>
    <t>Cổng Mức 0 → 1: ≥ 3.000 hoá đơn, 0 lỗi MST/tiền, tỷ lệ cờ ≤ 20%; chi phí thực mỗi việc so với 704 đ</t>
  </si>
  <si>
    <t>Đi tiếp (lên Mức 1) / Sửa (giữ Mức 0)</t>
  </si>
  <si>
    <t>Quản lý sản phẩm + trưởng nhóm kỹ thuật + chị Hạnh</t>
  </si>
  <si>
    <t>Ngày 90</t>
  </si>
  <si>
    <t>Doanh thu bình quân so với 3,71 triệu trên ≥ 10 văn phòng; tỷ lệ doanh thu từ văn phòng dùng nhiều (đề: 65%); tỷ lệ hoá đơn phải xem</t>
  </si>
  <si>
    <t>Đi tiếp (mở rộng, chuẩn bị Mức 2) / Đổi hướng (gói giá cho văn phòng nhỏ) / Dừng mở rộng</t>
  </si>
  <si>
    <t>Ban lãnh đạo</t>
  </si>
  <si>
    <t>Có mô hình mới / giá gọi AI giảm mạnh</t>
  </si>
  <si>
    <t>Chạy lại bộ đề 40 ca (8,5 giờ chuyên gia); tính lại chi phí gọi AI so với 254 đ/việc; tầng Nguy hiểm không tụt</t>
  </si>
  <si>
    <t>Đổi mô hình chỉ khi qua đủ cổng phát hành; dùng phần tiết kiệm để lên mức sớm hơn hoặc hạ giá</t>
  </si>
  <si>
    <t>Quản lý sản phẩm + trưởng nhóm kỹ thuật</t>
  </si>
  <si>
    <t>Nền tảng hoặc đối thủ ra tính năng tương tự</t>
  </si>
  <si>
    <t>Việc nào bị 'nuốt' (đọc ảnh, nhập HĐĐT); văn phòng nào có ý định chuyển</t>
  </si>
  <si>
    <t>Bỏ việc bị nuốt, dồn lực vào đối chiếu MST và gắn cờ theo luật từng văn phòng</t>
  </si>
  <si>
    <t>Quy định pháp lý thay đổi</t>
  </si>
  <si>
    <t>Mức rủi ro của hệ thống theo Luật Trí tuệ nhân tạo 134/2025/QH15; quy định về hoá đơn điện tử</t>
  </si>
  <si>
    <t>Thêm biện pháp kiểm soát và bằng chứng; cập nhật luật đối chiếu và gắn cờ</t>
  </si>
  <si>
    <t>Quản lý sản phẩm + pháp chế + chị Hạnh</t>
  </si>
  <si>
    <t>Ngày 90 chưa đo được giá trị vòng đời thật: khách mới dùng 3 tháng. Chỉ dùng chỉ số đã có đủ dữ liệu.</t>
  </si>
  <si>
    <t>5 · Lộ trình 1 slide cho lãnh đạo</t>
  </si>
  <si>
    <t>Kết luận trước. Không quá 60 chữ mỗi ô (cột C tự đếm).</t>
  </si>
  <si>
    <t>Số chữ</t>
  </si>
  <si>
    <t>Đạt?</t>
  </si>
  <si>
    <t>Kết luận (1 câu)</t>
  </si>
  <si>
    <t>Thử nghiệm 3 tháng với 10 văn phòng: tra mã số thuế và gắn cờ để kế toán chỉ xem 20% hoá đơn, 0 lỗi thuế/tiền; quyết định mở rộng ở ngày 90.</t>
  </si>
  <si>
    <t>3 việc chính</t>
  </si>
  <si>
    <t>Bây giờ: tra mã số thuế, gắn cờ, kiểm chứng doanh thu trên 10 văn phòng · Tiếp theo: duyệt 10%, nhập hoá đơn điện tử qua phần mềm sẵn có · Sau này: tự nhập hoá đơn điện tử, gợi ý hạch toán</t>
  </si>
  <si>
    <t>Cần gì (người, tiền, dữ liệu)</t>
  </si>
  <si>
    <t>Chị Hạnh 3 giờ/tuần + anh Tùng chấm bộ đề (8,5 giờ/vòng); 1 kế toán viên duyệt; mua dịch vụ tra mã số thuế; 10 văn phòng thử nghiệm</t>
  </si>
  <si>
    <t>Rủi ro lớn nhất &amp; cách xử lý</t>
  </si>
  <si>
    <t>65% doanh thu từ 30% văn phòng → kiểm chứng trên 10 văn phòng nhiều quy mô, dừng mở rộng nếu dưới 3,71 triệu 2 tháng; lỗi thuế/tiền lọt → lùi về duyệt 100%</t>
  </si>
  <si>
    <t>Khi nào xem lại</t>
  </si>
  <si>
    <t>Ngày 30/60/90; ngay khi có 1 lỗi mã số thuế/tiền, có mô hình mới hoặc phần mềm kế toán ra tính năng tương tự</t>
  </si>
  <si>
    <t>6 · Tự kiểm tra</t>
  </si>
  <si>
    <t>Chưa 'Đạt' thì quay lại sửa trước khi nộp file.</t>
  </si>
  <si>
    <t>Điểm kiểm tra</t>
  </si>
  <si>
    <t>Kết quả</t>
  </si>
  <si>
    <t>Số việc đã chấm điểm (cần ≥ 5)</t>
  </si>
  <si>
    <t>Việc được giữ lại mà thiếu giả thuyết hoặc chỉ số có con số (cần = 0)</t>
  </si>
  <si>
    <t>Số mức tự động có cổng đánh giá kèm con số (cần ≥ 2, không tính Mức 0)</t>
  </si>
  <si>
    <t>Bảng lộ trình: số ô tầng 'Bây giờ' đã điền (cần 8/8)</t>
  </si>
  <si>
    <t>Điều kiện dừng tầng 'Bây giờ' có con số</t>
  </si>
  <si>
    <t>Căn cứ kinh tế có con số (từ số liệu của đề)</t>
  </si>
  <si>
    <t>Slide lãnh đạo: số ô đạt (đủ chữ, không quá 60 chữ; cần 5)</t>
  </si>
  <si>
    <t>Số mức tự động có biên lợi nhuận ≥ 60% (cần ≥ 1)</t>
  </si>
  <si>
    <t>7 · Thang điểm sản phẩm (100 điểm)</t>
  </si>
  <si>
    <t>Tiêu chí</t>
  </si>
  <si>
    <t>Điểm</t>
  </si>
  <si>
    <t>Bài đạt khi</t>
  </si>
  <si>
    <t>Điểm nhóm</t>
  </si>
  <si>
    <t>Theo kết quả và giả thuyết</t>
  </si>
  <si>
    <t>Mỗi việc có giả thuyết, chỉ số và ngưỡng, không chỉ là tên tính năng</t>
  </si>
  <si>
    <t>Ưu tiên có căn cứ</t>
  </si>
  <si>
    <t>Bảng điểm ≥ 5 việc; có sẵn sàng dữ liệu, đánh giá và rủi ro bị nuốt; dùng số liệu kinh tế của đề; đổi thứ tự hoặc bỏ việc thì ghi lý do</t>
  </si>
  <si>
    <t>Mức tự động và cổng đánh giá</t>
  </si>
  <si>
    <t>≥ 2 mức có cổng bằng con số (chỉ số, ngưỡng, cỡ mẫu); có vai trò của người; có chi phí mỗi việc theo mức</t>
  </si>
  <si>
    <t>Điều kiện cần và rủi ro</t>
  </si>
  <si>
    <t>Nêu dữ liệu, hạ tầng, tuân thủ; điều kiện dừng đo được với quy mô thử nghiệm; có lịch rà soát</t>
  </si>
  <si>
    <t>Slide lãnh đạo</t>
  </si>
  <si>
    <t>Kết luận trước, ≤ 60 chữ mỗi ô, trả lời được "cần gì" và "khi nào xem lại"</t>
  </si>
  <si>
    <t>TỔNG</t>
  </si>
  <si>
    <t>THANG ĐIỂM TRÌNH BÀY (1–5 điểm mỗi tiêu chí)</t>
  </si>
  <si>
    <t>Mức 1</t>
  </si>
  <si>
    <t>Mức 3</t>
  </si>
  <si>
    <t>Mức 5</t>
  </si>
  <si>
    <t>Rõ ràng</t>
  </si>
  <si>
    <t>Câu đầu chưa có kết luận; người nghe phải đoán nhóm làm gì trước</t>
  </si>
  <si>
    <t>Có kết luận nhưng nói sau phần mở đầu, hoặc thiếu mốc quyết định</t>
  </si>
  <si>
    <t>Câu đầu có việc làm trước, mục tiêu bằng số và ngày quyết định</t>
  </si>
  <si>
    <t>Bằng chứng</t>
  </si>
  <si>
    <t>Không có cổng đánh giá, hoặc số không có nguồn</t>
  </si>
  <si>
    <t>Có cổng nhưng thiếu cỡ mẫu hoặc căn cứ kinh tế</t>
  </si>
  <si>
    <t>Cổng đủ chỉ số, ngưỡng, cỡ mẫu; căn cứ kinh tế lấy từ số liệu của đề</t>
  </si>
  <si>
    <t>Trả lời phản biện</t>
  </si>
  <si>
    <t>Né câu hỏi hoặc trả lời chung chung</t>
  </si>
  <si>
    <t>Trả lời đúng ý nhưng không dẫn số</t>
  </si>
  <si>
    <t>Trả lời thẳng, dẫn đúng con số trong file</t>
  </si>
  <si>
    <t>Đúng giờ</t>
  </si>
  <si>
    <t>Quá 4 phút</t>
  </si>
  <si>
    <t>Từ 3 đến 4 phút</t>
  </si>
  <si>
    <t>Không quá 3 phút</t>
  </si>
  <si>
    <t>Mức 2 và 4 dùng khi bài nằm giữa hai mô tả. Bản chuẩn của buổi học không có phần trình bày trên lớp: điểm buổi = thang sản phẩm 100 điểm ở trên. Thang trình bày chỉ dùng khi giảng viên tổ chức trình bày.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</si>
</sst>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charset val="1"/>
    </font>
    <font>
      <b/>
      <sz val="14"/>
      <name val="Cambria"/>
      <charset val="1"/>
    </font>
    <font>
      <i/>
      <sz val="11"/>
      <color rgb="FF595959"/>
      <name val="Cambria"/>
      <charset val="1"/>
    </font>
    <font>
      <b/>
      <sz val="11"/>
      <color rgb="FFFFFFFF"/>
      <name val="Cambria"/>
      <charset val="1"/>
    </font>
    <font>
      <b/>
      <sz val="11"/>
      <name val="Cambria"/>
      <charset val="1"/>
    </font>
    <font>
      <sz val="11"/>
      <name val="Calibri"/>
      <charset val="1"/>
    </font>
    <font>
      <i/>
      <sz val="10"/>
      <color rgb="FF595959"/>
      <name val="Calibri"/>
      <charset val="1"/>
    </font>
    <font>
      <b/>
      <sz val="12"/>
      <name val="Cambria"/>
      <charset val="1"/>
    </font>
  </fonts>
  <fills count="5">
    <fill>
      <patternFill patternType="none"/>
    </fill>
    <fill>
      <patternFill patternType="gray125"/>
    </fill>
    <fill>
      <patternFill patternType="solid">
        <fgColor rgb="FFFFF2CC"/>
        <bgColor rgb="FFE2EFDA"/>
      </patternFill>
    </fill>
    <fill>
      <patternFill patternType="solid">
        <fgColor rgb="FFE2EFDA"/>
        <bgColor rgb="FFFFF2CC"/>
      </patternFill>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1">
    <xf numFmtId="0" fontId="0" fillId="0" borderId="0" xfId="0"/>
    <xf numFmtId="0" fontId="1" fillId="0" borderId="0" xfId="0" applyFont="1"/>
    <xf numFmtId="0" fontId="2" fillId="0" borderId="0" xfId="0" applyFont="1"/>
    <xf numFmtId="0" fontId="0" fillId="2" borderId="0" xfId="0" applyFill="1"/>
    <xf numFmtId="0" fontId="0" fillId="3" borderId="0" xfId="0" applyFill="1"/>
    <xf numFmtId="0" fontId="3" fillId="4" borderId="0" xfId="0" applyFont="1" applyFill="1" applyAlignment="1">
      <alignment wrapText="1"/>
    </xf>
    <xf numFmtId="0" fontId="0" fillId="0" borderId="1" xfId="0" applyBorder="1" applyAlignment="1">
      <alignment vertical="top" wrapText="1"/>
    </xf>
    <xf numFmtId="0" fontId="0" fillId="2" borderId="1" xfId="0" applyFill="1" applyBorder="1" applyAlignment="1" applyProtection="1">
      <alignment vertical="top" wrapText="1"/>
      <protection locked="0"/>
    </xf>
    <xf numFmtId="0" fontId="4" fillId="0" borderId="0" xfId="0" applyFont="1"/>
    <xf numFmtId="0" fontId="3" fillId="4" borderId="0" xfId="0" applyFont="1" applyFill="1" applyAlignment="1">
      <alignment vertical="center" wrapText="1"/>
    </xf>
    <xf numFmtId="0" fontId="0" fillId="0" borderId="1" xfId="0" applyBorder="1"/>
    <xf numFmtId="0" fontId="0" fillId="3" borderId="1" xfId="0" applyFill="1" applyBorder="1" applyAlignment="1">
      <alignment vertical="top" wrapText="1"/>
    </xf>
    <xf numFmtId="0" fontId="0" fillId="3" borderId="1" xfId="0" applyFill="1" applyBorder="1" applyAlignment="1">
      <alignment horizontal="center"/>
    </xf>
    <xf numFmtId="0" fontId="5" fillId="2" borderId="0" xfId="0" applyFont="1" applyFill="1" applyProtection="1">
      <protection locked="0"/>
    </xf>
    <xf numFmtId="9" fontId="5" fillId="2" borderId="0" xfId="0" applyNumberFormat="1" applyFont="1" applyFill="1" applyProtection="1">
      <protection locked="0"/>
    </xf>
    <xf numFmtId="38" fontId="5" fillId="3" borderId="0" xfId="0" applyNumberFormat="1" applyFont="1" applyFill="1"/>
    <xf numFmtId="9" fontId="5" fillId="3" borderId="0" xfId="0" applyNumberFormat="1" applyFont="1" applyFill="1"/>
    <xf numFmtId="0" fontId="5" fillId="3" borderId="0" xfId="0" applyFont="1" applyFill="1"/>
    <xf numFmtId="0" fontId="5" fillId="0" borderId="0" xfId="0" applyFont="1"/>
    <xf numFmtId="38" fontId="5" fillId="2" borderId="0" xfId="0" applyNumberFormat="1" applyFont="1" applyFill="1" applyProtection="1">
      <protection locked="0"/>
    </xf>
    <xf numFmtId="0" fontId="6" fillId="0" borderId="0" xfId="0" applyFont="1"/>
    <xf numFmtId="164" fontId="5" fillId="2" borderId="0" xfId="0" applyNumberFormat="1" applyFont="1" applyFill="1" applyProtection="1">
      <protection locked="0"/>
    </xf>
    <xf numFmtId="1" fontId="5" fillId="2" borderId="0" xfId="0" applyNumberFormat="1" applyFont="1" applyFill="1" applyProtection="1">
      <protection locked="0"/>
    </xf>
    <xf numFmtId="0" fontId="4" fillId="0" borderId="1" xfId="0" applyFont="1" applyBorder="1" applyAlignment="1">
      <alignment vertical="top" wrapText="1"/>
    </xf>
    <xf numFmtId="0" fontId="4" fillId="0" borderId="1" xfId="0" applyFont="1" applyBorder="1"/>
    <xf numFmtId="1" fontId="5" fillId="3" borderId="0" xfId="0" applyNumberFormat="1" applyFont="1" applyFill="1"/>
    <xf numFmtId="0" fontId="0" fillId="0" borderId="0" xfId="0" applyAlignment="1">
      <alignment vertical="top" wrapText="1"/>
    </xf>
    <xf numFmtId="0" fontId="0" fillId="2" borderId="0" xfId="0" applyFill="1" applyProtection="1">
      <protection locked="0"/>
    </xf>
    <xf numFmtId="0" fontId="7" fillId="0" borderId="0" xfId="0" applyFont="1"/>
    <xf numFmtId="0" fontId="4" fillId="0" borderId="0" xfId="0" applyFont="1" applyAlignment="1">
      <alignment vertical="top" wrapText="1"/>
    </xf>
    <xf numFmtId="0" fontId="5"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Normal="100" workbookViewId="0"/>
  </sheetViews>
  <sheetFormatPr defaultColWidth="8.6640625" defaultRowHeight="14.4" x14ac:dyDescent="0.3"/>
  <cols>
    <col min="1" max="1" width="120" customWidth="1"/>
  </cols>
  <sheetData>
    <row r="1" spans="1:1" ht="17.25" customHeight="1" x14ac:dyDescent="0.3">
      <c r="A1" s="1" t="s">
        <v>0</v>
      </c>
    </row>
    <row r="2" spans="1:1" ht="15" customHeight="1" x14ac:dyDescent="0.3">
      <c r="A2" s="2" t="s">
        <v>1</v>
      </c>
    </row>
    <row r="4" spans="1:1" ht="15" customHeight="1" x14ac:dyDescent="0.3">
      <c r="A4" t="s">
        <v>2</v>
      </c>
    </row>
    <row r="5" spans="1:1" ht="15" customHeight="1" x14ac:dyDescent="0.3">
      <c r="A5" t="s">
        <v>3</v>
      </c>
    </row>
    <row r="6" spans="1:1" ht="15" customHeight="1" x14ac:dyDescent="0.3">
      <c r="A6" t="s">
        <v>4</v>
      </c>
    </row>
    <row r="7" spans="1:1" ht="15" customHeight="1" x14ac:dyDescent="0.3">
      <c r="A7" t="s">
        <v>5</v>
      </c>
    </row>
    <row r="8" spans="1:1" ht="15" customHeight="1" x14ac:dyDescent="0.3">
      <c r="A8" t="s">
        <v>6</v>
      </c>
    </row>
    <row r="9" spans="1:1" ht="15" customHeight="1" x14ac:dyDescent="0.3">
      <c r="A9" t="s">
        <v>7</v>
      </c>
    </row>
    <row r="11" spans="1:1" ht="15" customHeight="1" x14ac:dyDescent="0.3">
      <c r="A11" t="s">
        <v>8</v>
      </c>
    </row>
    <row r="12" spans="1:1" ht="15" customHeight="1" x14ac:dyDescent="0.3">
      <c r="A12" s="3" t="s">
        <v>9</v>
      </c>
    </row>
    <row r="13" spans="1:1" ht="15" customHeight="1" x14ac:dyDescent="0.3">
      <c r="A13" s="4" t="s">
        <v>10</v>
      </c>
    </row>
  </sheetData>
  <sheetProtection sheet="1" formatColumns="0" formatRows="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zoomScaleNormal="100" workbookViewId="0"/>
  </sheetViews>
  <sheetFormatPr defaultColWidth="8.6640625" defaultRowHeight="14.4" x14ac:dyDescent="0.3"/>
  <cols>
    <col min="1" max="1" width="52" customWidth="1"/>
    <col min="2" max="2" width="14" customWidth="1"/>
    <col min="3" max="4" width="46" customWidth="1"/>
    <col min="5" max="5" width="36" customWidth="1"/>
  </cols>
  <sheetData>
    <row r="1" spans="1:5" ht="17.25" customHeight="1" x14ac:dyDescent="0.3">
      <c r="A1" s="1" t="s">
        <v>11</v>
      </c>
    </row>
    <row r="2" spans="1:5" ht="15" customHeight="1" x14ac:dyDescent="0.3">
      <c r="A2" s="2" t="s">
        <v>12</v>
      </c>
    </row>
    <row r="4" spans="1:5" ht="26.25" customHeight="1" x14ac:dyDescent="0.3">
      <c r="A4" s="5" t="s">
        <v>13</v>
      </c>
      <c r="B4" s="5" t="s">
        <v>14</v>
      </c>
      <c r="C4" s="5" t="s">
        <v>15</v>
      </c>
      <c r="D4" s="5" t="s">
        <v>16</v>
      </c>
      <c r="E4" s="5" t="s">
        <v>17</v>
      </c>
    </row>
    <row r="5" spans="1:5" ht="33.75" customHeight="1" x14ac:dyDescent="0.3">
      <c r="A5" s="6" t="s">
        <v>18</v>
      </c>
      <c r="B5" s="7" t="s">
        <v>19</v>
      </c>
      <c r="C5" s="6" t="s">
        <v>20</v>
      </c>
      <c r="D5" s="6" t="s">
        <v>21</v>
      </c>
      <c r="E5" s="7" t="s">
        <v>22</v>
      </c>
    </row>
    <row r="6" spans="1:5" ht="33.75" customHeight="1" x14ac:dyDescent="0.3">
      <c r="A6" s="6" t="s">
        <v>23</v>
      </c>
      <c r="B6" s="7" t="s">
        <v>19</v>
      </c>
      <c r="C6" s="6" t="s">
        <v>24</v>
      </c>
      <c r="D6" s="6" t="s">
        <v>25</v>
      </c>
      <c r="E6" s="7" t="s">
        <v>26</v>
      </c>
    </row>
    <row r="7" spans="1:5" ht="33.75" customHeight="1" x14ac:dyDescent="0.3">
      <c r="A7" s="6" t="s">
        <v>27</v>
      </c>
      <c r="B7" s="7" t="s">
        <v>19</v>
      </c>
      <c r="C7" s="6" t="s">
        <v>28</v>
      </c>
      <c r="D7" s="6" t="s">
        <v>29</v>
      </c>
      <c r="E7" s="7" t="s">
        <v>30</v>
      </c>
    </row>
    <row r="8" spans="1:5" ht="33.75" customHeight="1" x14ac:dyDescent="0.3">
      <c r="A8" s="6" t="s">
        <v>31</v>
      </c>
      <c r="B8" s="7" t="s">
        <v>19</v>
      </c>
      <c r="C8" s="6" t="s">
        <v>32</v>
      </c>
      <c r="D8" s="6" t="s">
        <v>33</v>
      </c>
      <c r="E8" s="7" t="s">
        <v>34</v>
      </c>
    </row>
    <row r="9" spans="1:5" ht="33.75" customHeight="1" x14ac:dyDescent="0.3">
      <c r="A9" s="6" t="s">
        <v>35</v>
      </c>
      <c r="B9" s="7" t="s">
        <v>19</v>
      </c>
      <c r="C9" s="6" t="s">
        <v>36</v>
      </c>
      <c r="D9" s="6" t="s">
        <v>37</v>
      </c>
      <c r="E9" s="7" t="s">
        <v>38</v>
      </c>
    </row>
    <row r="10" spans="1:5" ht="33.75" customHeight="1" x14ac:dyDescent="0.3">
      <c r="A10" s="6" t="s">
        <v>39</v>
      </c>
      <c r="B10" s="7" t="s">
        <v>19</v>
      </c>
      <c r="C10" s="6" t="s">
        <v>40</v>
      </c>
      <c r="D10" s="6" t="s">
        <v>41</v>
      </c>
      <c r="E10" s="7" t="s">
        <v>42</v>
      </c>
    </row>
    <row r="12" spans="1:5" ht="15" customHeight="1" x14ac:dyDescent="0.3">
      <c r="A12" s="8" t="s">
        <v>43</v>
      </c>
      <c r="B12" s="4">
        <f>COUNTIF(B5:B10,"Có")</f>
        <v>6</v>
      </c>
    </row>
    <row r="13" spans="1:5" ht="15" customHeight="1" x14ac:dyDescent="0.3">
      <c r="A13" s="2" t="s">
        <v>44</v>
      </c>
    </row>
  </sheetData>
  <sheetProtection sheet="1" formatColumns="0" formatRows="0"/>
  <dataValidations count="1">
    <dataValidation type="list" allowBlank="1" sqref="B5:B10" xr:uid="{00000000-0002-0000-0100-000000000000}">
      <formula1>"Có,Chưa"</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4"/>
  <sheetViews>
    <sheetView tabSelected="1" zoomScaleNormal="100" workbookViewId="0">
      <selection activeCell="B5" sqref="B5"/>
    </sheetView>
  </sheetViews>
  <sheetFormatPr defaultColWidth="8.6640625" defaultRowHeight="14.4" x14ac:dyDescent="0.3"/>
  <cols>
    <col min="1" max="1" width="4" customWidth="1"/>
    <col min="2" max="2" width="30" customWidth="1"/>
    <col min="3" max="3" width="28" customWidth="1"/>
    <col min="4" max="4" width="38" customWidth="1"/>
    <col min="5" max="5" width="32" customWidth="1"/>
    <col min="6" max="7" width="8" customWidth="1"/>
    <col min="8" max="8" width="11" customWidth="1"/>
    <col min="9" max="9" width="8" customWidth="1"/>
    <col min="10" max="10" width="11" customWidth="1"/>
    <col min="11" max="11" width="10" customWidth="1"/>
    <col min="12" max="12" width="13" customWidth="1"/>
    <col min="13" max="14" width="10" customWidth="1"/>
    <col min="15" max="15" width="12" customWidth="1"/>
    <col min="16" max="16" width="14" customWidth="1"/>
    <col min="17" max="17" width="58" customWidth="1"/>
  </cols>
  <sheetData>
    <row r="1" spans="1:17" ht="17.25" customHeight="1" x14ac:dyDescent="0.3">
      <c r="A1" s="1" t="s">
        <v>45</v>
      </c>
    </row>
    <row r="2" spans="1:17" ht="15" customHeight="1" x14ac:dyDescent="0.3">
      <c r="A2" s="2" t="s">
        <v>46</v>
      </c>
    </row>
    <row r="4" spans="1:17" ht="39" customHeight="1" x14ac:dyDescent="0.3">
      <c r="A4" s="9" t="s">
        <v>47</v>
      </c>
      <c r="B4" s="9" t="s">
        <v>48</v>
      </c>
      <c r="C4" s="9" t="s">
        <v>49</v>
      </c>
      <c r="D4" s="9" t="s">
        <v>50</v>
      </c>
      <c r="E4" s="9" t="s">
        <v>51</v>
      </c>
      <c r="F4" s="9" t="s">
        <v>52</v>
      </c>
      <c r="G4" s="9" t="s">
        <v>53</v>
      </c>
      <c r="H4" s="9" t="s">
        <v>54</v>
      </c>
      <c r="I4" s="9" t="s">
        <v>55</v>
      </c>
      <c r="J4" s="9" t="s">
        <v>56</v>
      </c>
      <c r="K4" s="9" t="s">
        <v>57</v>
      </c>
      <c r="L4" s="9" t="s">
        <v>58</v>
      </c>
      <c r="M4" s="9" t="s">
        <v>59</v>
      </c>
      <c r="N4" s="9" t="s">
        <v>60</v>
      </c>
      <c r="O4" s="9" t="s">
        <v>61</v>
      </c>
      <c r="P4" s="9" t="s">
        <v>62</v>
      </c>
      <c r="Q4" s="9" t="s">
        <v>63</v>
      </c>
    </row>
    <row r="5" spans="1:17" ht="34.5" customHeight="1" x14ac:dyDescent="0.3">
      <c r="A5" s="10">
        <v>1</v>
      </c>
      <c r="B5" s="7" t="s">
        <v>64</v>
      </c>
      <c r="C5" s="7" t="s">
        <v>65</v>
      </c>
      <c r="D5" s="7" t="s">
        <v>66</v>
      </c>
      <c r="E5" s="7" t="s">
        <v>67</v>
      </c>
      <c r="F5" s="7">
        <v>3</v>
      </c>
      <c r="G5" s="7">
        <v>4</v>
      </c>
      <c r="H5" s="7">
        <v>0.8</v>
      </c>
      <c r="I5" s="7">
        <v>3</v>
      </c>
      <c r="J5" s="7">
        <v>0.8</v>
      </c>
      <c r="K5" s="7">
        <v>0.8</v>
      </c>
      <c r="L5" s="7">
        <v>0.3</v>
      </c>
      <c r="M5" s="11">
        <f t="shared" ref="M5:M14" si="0">IF(COUNT(F5:L5)&lt;7,"",ROUND(F5*G5*H5/I5*(0.5+0.5*AVERAGE(J5:K5))*(1-0.5*L5),2))</f>
        <v>2.4500000000000002</v>
      </c>
      <c r="N5" s="11">
        <f t="shared" ref="N5:N14" si="1">IF(M5="","",RANK(M5,$M$5:$M$14))</f>
        <v>5</v>
      </c>
      <c r="O5" s="12" t="str">
        <f>IF(B5="","",IF(OR(D5="",E5=""),"Thiếu",IF(SUMPRODUCT(--ISNUMBER(SEARCH({"0","1","2","3","4","5","6","7","8","9"},E5)))&gt;0,"Có","Thiếu")))</f>
        <v>Có</v>
      </c>
      <c r="P5" s="13" t="s">
        <v>68</v>
      </c>
      <c r="Q5" s="13" t="s">
        <v>69</v>
      </c>
    </row>
    <row r="6" spans="1:17" ht="23.25" customHeight="1" x14ac:dyDescent="0.3">
      <c r="A6" s="10">
        <v>2</v>
      </c>
      <c r="B6" s="7" t="s">
        <v>70</v>
      </c>
      <c r="C6" s="7" t="s">
        <v>71</v>
      </c>
      <c r="D6" s="7" t="s">
        <v>72</v>
      </c>
      <c r="E6" s="7" t="s">
        <v>73</v>
      </c>
      <c r="F6" s="7">
        <v>5</v>
      </c>
      <c r="G6" s="7">
        <v>5</v>
      </c>
      <c r="H6" s="7">
        <v>0.8</v>
      </c>
      <c r="I6" s="7">
        <v>2</v>
      </c>
      <c r="J6" s="7">
        <v>0.7</v>
      </c>
      <c r="K6" s="7">
        <v>0.8</v>
      </c>
      <c r="L6" s="7">
        <v>0.2</v>
      </c>
      <c r="M6" s="11">
        <f t="shared" si="0"/>
        <v>7.88</v>
      </c>
      <c r="N6" s="11">
        <f t="shared" si="1"/>
        <v>2</v>
      </c>
      <c r="O6" s="12" t="str">
        <f>IF(B6="","",IF(OR(D6="",E6=""),"Thiếu",IF(SUMPRODUCT(--ISNUMBER(SEARCH({"0","1","2","3","4","5","6","7","8","9"},E6)))&gt;0,"Có","Thiếu")))</f>
        <v>Có</v>
      </c>
      <c r="P6" s="13" t="s">
        <v>68</v>
      </c>
      <c r="Q6" s="13" t="s">
        <v>74</v>
      </c>
    </row>
    <row r="7" spans="1:17" ht="23.25" customHeight="1" x14ac:dyDescent="0.3">
      <c r="A7" s="10">
        <v>3</v>
      </c>
      <c r="B7" s="7" t="s">
        <v>75</v>
      </c>
      <c r="C7" s="7" t="s">
        <v>76</v>
      </c>
      <c r="D7" s="7" t="s">
        <v>77</v>
      </c>
      <c r="E7" s="7" t="s">
        <v>78</v>
      </c>
      <c r="F7" s="7">
        <v>5</v>
      </c>
      <c r="G7" s="7">
        <v>3</v>
      </c>
      <c r="H7" s="7">
        <v>1</v>
      </c>
      <c r="I7" s="7">
        <v>1</v>
      </c>
      <c r="J7" s="7">
        <v>1</v>
      </c>
      <c r="K7" s="7">
        <v>0.6</v>
      </c>
      <c r="L7" s="7">
        <v>0.9</v>
      </c>
      <c r="M7" s="11">
        <f t="shared" si="0"/>
        <v>7.43</v>
      </c>
      <c r="N7" s="11">
        <f t="shared" si="1"/>
        <v>3</v>
      </c>
      <c r="O7" s="12" t="str">
        <f>IF(B7="","",IF(OR(D7="",E7=""),"Thiếu",IF(SUMPRODUCT(--ISNUMBER(SEARCH({"0","1","2","3","4","5","6","7","8","9"},E7)))&gt;0,"Có","Thiếu")))</f>
        <v>Có</v>
      </c>
      <c r="P7" s="13" t="s">
        <v>79</v>
      </c>
      <c r="Q7" s="13" t="s">
        <v>80</v>
      </c>
    </row>
    <row r="8" spans="1:17" ht="23.25" customHeight="1" x14ac:dyDescent="0.3">
      <c r="A8" s="10">
        <v>4</v>
      </c>
      <c r="B8" s="7" t="s">
        <v>81</v>
      </c>
      <c r="C8" s="7" t="s">
        <v>82</v>
      </c>
      <c r="D8" s="7" t="s">
        <v>83</v>
      </c>
      <c r="E8" s="7" t="s">
        <v>84</v>
      </c>
      <c r="F8" s="7">
        <v>5</v>
      </c>
      <c r="G8" s="7">
        <v>5</v>
      </c>
      <c r="H8" s="7">
        <v>1</v>
      </c>
      <c r="I8" s="7">
        <v>1</v>
      </c>
      <c r="J8" s="7">
        <v>0.9</v>
      </c>
      <c r="K8" s="7">
        <v>0.7</v>
      </c>
      <c r="L8" s="7">
        <v>0.5</v>
      </c>
      <c r="M8" s="11">
        <f t="shared" si="0"/>
        <v>16.88</v>
      </c>
      <c r="N8" s="11">
        <f t="shared" si="1"/>
        <v>1</v>
      </c>
      <c r="O8" s="12" t="str">
        <f>IF(B8="","",IF(OR(D8="",E8=""),"Thiếu",IF(SUMPRODUCT(--ISNUMBER(SEARCH({"0","1","2","3","4","5","6","7","8","9"},E8)))&gt;0,"Có","Thiếu")))</f>
        <v>Có</v>
      </c>
      <c r="P8" s="13" t="s">
        <v>79</v>
      </c>
      <c r="Q8" s="13" t="s">
        <v>85</v>
      </c>
    </row>
    <row r="9" spans="1:17" ht="23.25" customHeight="1" x14ac:dyDescent="0.3">
      <c r="A9" s="10">
        <v>5</v>
      </c>
      <c r="B9" s="7" t="s">
        <v>86</v>
      </c>
      <c r="C9" s="7" t="s">
        <v>87</v>
      </c>
      <c r="D9" s="7" t="s">
        <v>88</v>
      </c>
      <c r="E9" s="7" t="s">
        <v>89</v>
      </c>
      <c r="F9" s="7">
        <v>5</v>
      </c>
      <c r="G9" s="7">
        <v>4</v>
      </c>
      <c r="H9" s="7">
        <v>0.5</v>
      </c>
      <c r="I9" s="7">
        <v>4</v>
      </c>
      <c r="J9" s="7">
        <v>0.1</v>
      </c>
      <c r="K9" s="7">
        <v>0.2</v>
      </c>
      <c r="L9" s="7">
        <v>0.4</v>
      </c>
      <c r="M9" s="11">
        <f t="shared" si="0"/>
        <v>1.1499999999999999</v>
      </c>
      <c r="N9" s="11">
        <f t="shared" si="1"/>
        <v>6</v>
      </c>
      <c r="O9" s="12" t="str">
        <f>IF(B9="","",IF(OR(D9="",E9=""),"Thiếu",IF(SUMPRODUCT(--ISNUMBER(SEARCH({"0","1","2","3","4","5","6","7","8","9"},E9)))&gt;0,"Có","Thiếu")))</f>
        <v>Có</v>
      </c>
      <c r="P9" s="13" t="s">
        <v>90</v>
      </c>
      <c r="Q9" s="13" t="s">
        <v>91</v>
      </c>
    </row>
    <row r="10" spans="1:17" ht="23.25" customHeight="1" x14ac:dyDescent="0.3">
      <c r="A10" s="10">
        <v>6</v>
      </c>
      <c r="B10" s="7" t="s">
        <v>92</v>
      </c>
      <c r="C10" s="7" t="s">
        <v>93</v>
      </c>
      <c r="D10" s="7" t="s">
        <v>94</v>
      </c>
      <c r="E10" s="7" t="s">
        <v>95</v>
      </c>
      <c r="F10" s="7">
        <v>2</v>
      </c>
      <c r="G10" s="7">
        <v>2</v>
      </c>
      <c r="H10" s="7">
        <v>0.5</v>
      </c>
      <c r="I10" s="7">
        <v>3</v>
      </c>
      <c r="J10" s="7">
        <v>0.3</v>
      </c>
      <c r="K10" s="7">
        <v>0.1</v>
      </c>
      <c r="L10" s="7">
        <v>0.9</v>
      </c>
      <c r="M10" s="11">
        <f t="shared" si="0"/>
        <v>0.22</v>
      </c>
      <c r="N10" s="11">
        <f t="shared" si="1"/>
        <v>7</v>
      </c>
      <c r="O10" s="12" t="str">
        <f>IF(B10="","",IF(OR(D10="",E10=""),"Thiếu",IF(SUMPRODUCT(--ISNUMBER(SEARCH({"0","1","2","3","4","5","6","7","8","9"},E10)))&gt;0,"Có","Thiếu")))</f>
        <v>Có</v>
      </c>
      <c r="P10" s="13" t="s">
        <v>96</v>
      </c>
      <c r="Q10" s="13" t="s">
        <v>97</v>
      </c>
    </row>
    <row r="11" spans="1:17" ht="15" customHeight="1" x14ac:dyDescent="0.3">
      <c r="A11" s="10">
        <v>7</v>
      </c>
      <c r="B11" s="7" t="s">
        <v>98</v>
      </c>
      <c r="C11" s="7" t="s">
        <v>99</v>
      </c>
      <c r="D11" s="7" t="s">
        <v>100</v>
      </c>
      <c r="E11" s="7" t="s">
        <v>101</v>
      </c>
      <c r="F11" s="7">
        <v>3</v>
      </c>
      <c r="G11" s="7">
        <v>5</v>
      </c>
      <c r="H11" s="7">
        <v>0.5</v>
      </c>
      <c r="I11" s="7">
        <v>1</v>
      </c>
      <c r="J11" s="7">
        <v>0.8</v>
      </c>
      <c r="K11" s="7">
        <v>0.7</v>
      </c>
      <c r="L11" s="7">
        <v>0.1</v>
      </c>
      <c r="M11" s="11">
        <f t="shared" si="0"/>
        <v>6.23</v>
      </c>
      <c r="N11" s="11">
        <f t="shared" si="1"/>
        <v>4</v>
      </c>
      <c r="O11" s="12" t="str">
        <f>IF(B11="","",IF(OR(D11="",E11=""),"Thiếu",IF(SUMPRODUCT(--ISNUMBER(SEARCH({"0","1","2","3","4","5","6","7","8","9"},E11)))&gt;0,"Có","Thiếu")))</f>
        <v>Có</v>
      </c>
      <c r="P11" s="13" t="s">
        <v>68</v>
      </c>
      <c r="Q11" s="13" t="s">
        <v>102</v>
      </c>
    </row>
    <row r="12" spans="1:17" ht="15" customHeight="1" x14ac:dyDescent="0.3">
      <c r="A12" s="10">
        <v>8</v>
      </c>
      <c r="B12" s="7"/>
      <c r="C12" s="7"/>
      <c r="D12" s="7"/>
      <c r="E12" s="7"/>
      <c r="F12" s="7"/>
      <c r="G12" s="7"/>
      <c r="H12" s="7"/>
      <c r="I12" s="7"/>
      <c r="J12" s="7"/>
      <c r="K12" s="7"/>
      <c r="L12" s="7"/>
      <c r="M12" s="11" t="str">
        <f t="shared" si="0"/>
        <v/>
      </c>
      <c r="N12" s="11" t="str">
        <f t="shared" si="1"/>
        <v/>
      </c>
      <c r="O12" s="12" t="str">
        <f>IF(B12="","",IF(OR(D12="",E12=""),"Thiếu",IF(SUMPRODUCT(--ISNUMBER(SEARCH({"0","1","2","3","4","5","6","7","8","9"},E12)))&gt;0,"Có","Thiếu")))</f>
        <v/>
      </c>
      <c r="P12" s="13"/>
      <c r="Q12" s="13"/>
    </row>
    <row r="13" spans="1:17" ht="15" customHeight="1" x14ac:dyDescent="0.3">
      <c r="A13" s="10">
        <v>9</v>
      </c>
      <c r="B13" s="7"/>
      <c r="C13" s="7"/>
      <c r="D13" s="7"/>
      <c r="E13" s="7"/>
      <c r="F13" s="7"/>
      <c r="G13" s="7"/>
      <c r="H13" s="7"/>
      <c r="I13" s="7"/>
      <c r="J13" s="7"/>
      <c r="K13" s="7"/>
      <c r="L13" s="7"/>
      <c r="M13" s="11" t="str">
        <f t="shared" si="0"/>
        <v/>
      </c>
      <c r="N13" s="11" t="str">
        <f t="shared" si="1"/>
        <v/>
      </c>
      <c r="O13" s="12" t="str">
        <f>IF(B13="","",IF(OR(D13="",E13=""),"Thiếu",IF(SUMPRODUCT(--ISNUMBER(SEARCH({"0","1","2","3","4","5","6","7","8","9"},E13)))&gt;0,"Có","Thiếu")))</f>
        <v/>
      </c>
      <c r="P13" s="13"/>
      <c r="Q13" s="13"/>
    </row>
    <row r="14" spans="1:17" ht="15" customHeight="1" x14ac:dyDescent="0.3">
      <c r="A14" s="10">
        <v>10</v>
      </c>
      <c r="B14" s="7"/>
      <c r="C14" s="7"/>
      <c r="D14" s="7"/>
      <c r="E14" s="7"/>
      <c r="F14" s="7"/>
      <c r="G14" s="7"/>
      <c r="H14" s="7"/>
      <c r="I14" s="7"/>
      <c r="J14" s="7"/>
      <c r="K14" s="7"/>
      <c r="L14" s="7"/>
      <c r="M14" s="11" t="str">
        <f t="shared" si="0"/>
        <v/>
      </c>
      <c r="N14" s="11" t="str">
        <f t="shared" si="1"/>
        <v/>
      </c>
      <c r="O14" s="12" t="str">
        <f>IF(B14="","",IF(OR(D14="",E14=""),"Thiếu",IF(SUMPRODUCT(--ISNUMBER(SEARCH({"0","1","2","3","4","5","6","7","8","9"},E14)))&gt;0,"Có","Thiếu")))</f>
        <v/>
      </c>
      <c r="P14" s="13"/>
      <c r="Q14" s="13"/>
    </row>
  </sheetData>
  <sheetProtection sheet="1" formatColumns="0" formatRows="0"/>
  <dataValidations count="4">
    <dataValidation type="whole" allowBlank="1" showErrorMessage="1" errorTitle="Ngoài thang điểm" error="Nhập số nguyên từ 1 đến 5." sqref="F5:G14 I5:I14" xr:uid="{00000000-0002-0000-0200-000000000000}">
      <formula1>1</formula1>
      <formula2>5</formula2>
    </dataValidation>
    <dataValidation type="decimal" allowBlank="1" showErrorMessage="1" errorTitle="Mức tự tin" error="Dùng 0,5 (đoán), 0,8 (có dấu hiệu) hoặc 1 (có số liệu)." sqref="H5:H14" xr:uid="{00000000-0002-0000-0200-000001000000}">
      <formula1>0.5</formula1>
      <formula2>1</formula2>
    </dataValidation>
    <dataValidation type="decimal" allowBlank="1" showErrorMessage="1" errorTitle="Ngoài thang 0–1" error="Nhập số từ 0 đến 1, ví dụ 0,6." sqref="J5:L14" xr:uid="{00000000-0002-0000-0200-000002000000}">
      <formula1>0</formula1>
      <formula2>1</formula2>
    </dataValidation>
    <dataValidation type="list" allowBlank="1" sqref="P5:P14" xr:uid="{00000000-0002-0000-0200-000003000000}">
      <formula1>"Tự làm,Mua,Chờ,Không làm"</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3"/>
  <sheetViews>
    <sheetView zoomScaleNormal="100" workbookViewId="0"/>
  </sheetViews>
  <sheetFormatPr defaultColWidth="8.6640625" defaultRowHeight="14.4" x14ac:dyDescent="0.3"/>
  <cols>
    <col min="1" max="1" width="6" customWidth="1"/>
    <col min="2" max="2" width="20" customWidth="1"/>
    <col min="3" max="3" width="34" customWidth="1"/>
    <col min="4" max="4" width="30" customWidth="1"/>
    <col min="5" max="5" width="44" customWidth="1"/>
    <col min="6" max="6" width="36" customWidth="1"/>
    <col min="7" max="8" width="12" customWidth="1"/>
    <col min="9" max="9" width="18" customWidth="1"/>
    <col min="10" max="10" width="14" customWidth="1"/>
    <col min="11" max="11" width="12" customWidth="1"/>
    <col min="12" max="12" width="13" customWidth="1"/>
    <col min="13" max="13" width="11" customWidth="1"/>
  </cols>
  <sheetData>
    <row r="1" spans="1:13" ht="17.25" customHeight="1" x14ac:dyDescent="0.3">
      <c r="A1" s="1" t="s">
        <v>103</v>
      </c>
    </row>
    <row r="2" spans="1:13" ht="15" customHeight="1" x14ac:dyDescent="0.3">
      <c r="A2" s="2" t="s">
        <v>104</v>
      </c>
    </row>
    <row r="4" spans="1:13" ht="26.25" customHeight="1" x14ac:dyDescent="0.3">
      <c r="A4" s="9" t="s">
        <v>105</v>
      </c>
      <c r="B4" s="9" t="s">
        <v>106</v>
      </c>
      <c r="C4" s="9" t="s">
        <v>107</v>
      </c>
      <c r="D4" s="9" t="s">
        <v>108</v>
      </c>
      <c r="E4" s="9" t="s">
        <v>109</v>
      </c>
      <c r="F4" s="9" t="s">
        <v>110</v>
      </c>
      <c r="G4" s="9" t="s">
        <v>111</v>
      </c>
      <c r="H4" s="9" t="s">
        <v>112</v>
      </c>
      <c r="I4" s="9" t="s">
        <v>113</v>
      </c>
      <c r="J4" s="9" t="s">
        <v>114</v>
      </c>
      <c r="K4" s="9" t="s">
        <v>115</v>
      </c>
      <c r="L4" s="9" t="s">
        <v>116</v>
      </c>
      <c r="M4" s="9" t="s">
        <v>117</v>
      </c>
    </row>
    <row r="5" spans="1:13" ht="48" customHeight="1" x14ac:dyDescent="0.3">
      <c r="A5" s="10">
        <v>0</v>
      </c>
      <c r="B5" s="7" t="s">
        <v>118</v>
      </c>
      <c r="C5" s="7" t="s">
        <v>119</v>
      </c>
      <c r="D5" s="7" t="s">
        <v>120</v>
      </c>
      <c r="E5" s="7" t="s">
        <v>121</v>
      </c>
      <c r="F5" s="7" t="s">
        <v>122</v>
      </c>
      <c r="G5" s="7" t="s">
        <v>123</v>
      </c>
      <c r="H5" s="14">
        <v>1</v>
      </c>
      <c r="I5" s="13" t="s">
        <v>124</v>
      </c>
      <c r="J5" s="15">
        <f>IF(H5="","",$B$12+$B$13+IF(I5="Người của mình",H5*$B$14*$B$15/60,0))</f>
        <v>1704</v>
      </c>
      <c r="K5" s="16">
        <f>IF(J5="","",IFERROR(($B$16-$B$17*J5)/$B$16,""))</f>
        <v>0.24457430730478588</v>
      </c>
      <c r="L5" s="17" t="str">
        <f>IF(K5="","",IF(K5&gt;=0.6,"Đạt","Dưới ngưỡng"))</f>
        <v>Dưới ngưỡng</v>
      </c>
    </row>
    <row r="6" spans="1:13" ht="48" customHeight="1" x14ac:dyDescent="0.3">
      <c r="A6" s="10">
        <v>1</v>
      </c>
      <c r="B6" s="7" t="s">
        <v>125</v>
      </c>
      <c r="C6" s="7" t="s">
        <v>126</v>
      </c>
      <c r="D6" s="7" t="s">
        <v>127</v>
      </c>
      <c r="E6" s="7" t="s">
        <v>128</v>
      </c>
      <c r="F6" s="7" t="s">
        <v>129</v>
      </c>
      <c r="G6" s="7" t="s">
        <v>130</v>
      </c>
      <c r="H6" s="14">
        <v>0.2</v>
      </c>
      <c r="I6" s="13" t="s">
        <v>124</v>
      </c>
      <c r="J6" s="15">
        <f>IF(H6="","",$B$12+$B$13+IF(I6="Người của mình",H6*$B$14*$B$15/60,0))</f>
        <v>704</v>
      </c>
      <c r="K6" s="16">
        <f>IF(J6="","",IFERROR(($B$16-$B$17*J6)/$B$16,""))</f>
        <v>0.68789924433249372</v>
      </c>
      <c r="L6" s="17" t="str">
        <f>IF(K6="","",IF(K6&gt;=0.6,"Đạt","Dưới ngưỡng"))</f>
        <v>Đạt</v>
      </c>
      <c r="M6" s="17" t="str">
        <f>IF(E6="","",IF(SUMPRODUCT(--ISNUMBER(SEARCH({"0","1","2","3","4","5","6","7","8","9"},E6)))&gt;0,"Có","Thiếu"))</f>
        <v>Có</v>
      </c>
    </row>
    <row r="7" spans="1:13" ht="48" customHeight="1" x14ac:dyDescent="0.3">
      <c r="A7" s="10">
        <v>2</v>
      </c>
      <c r="B7" s="7" t="s">
        <v>131</v>
      </c>
      <c r="C7" s="7" t="s">
        <v>132</v>
      </c>
      <c r="D7" s="7" t="s">
        <v>133</v>
      </c>
      <c r="E7" s="7" t="s">
        <v>134</v>
      </c>
      <c r="F7" s="7" t="s">
        <v>135</v>
      </c>
      <c r="G7" s="7" t="s">
        <v>136</v>
      </c>
      <c r="H7" s="14">
        <v>0.1</v>
      </c>
      <c r="I7" s="13" t="s">
        <v>124</v>
      </c>
      <c r="J7" s="15">
        <f>IF(H7="","",$B$12+$B$13+IF(I7="Người của mình",H7*$B$14*$B$15/60,0))</f>
        <v>579</v>
      </c>
      <c r="K7" s="16">
        <f>IF(J7="","",IFERROR(($B$16-$B$17*J7)/$B$16,""))</f>
        <v>0.74331486146095715</v>
      </c>
      <c r="L7" s="17" t="str">
        <f>IF(K7="","",IF(K7&gt;=0.6,"Đạt","Dưới ngưỡng"))</f>
        <v>Đạt</v>
      </c>
      <c r="M7" s="17" t="str">
        <f>IF(E7="","",IF(SUMPRODUCT(--ISNUMBER(SEARCH({"0","1","2","3","4","5","6","7","8","9"},E7)))&gt;0,"Có","Thiếu"))</f>
        <v>Có</v>
      </c>
    </row>
    <row r="8" spans="1:13" ht="48" customHeight="1" x14ac:dyDescent="0.3">
      <c r="A8" s="10">
        <v>3</v>
      </c>
      <c r="B8" s="7" t="s">
        <v>137</v>
      </c>
      <c r="C8" s="7" t="s">
        <v>138</v>
      </c>
      <c r="D8" s="7" t="s">
        <v>139</v>
      </c>
      <c r="E8" s="7" t="s">
        <v>140</v>
      </c>
      <c r="F8" s="7" t="s">
        <v>141</v>
      </c>
      <c r="G8" s="7" t="s">
        <v>142</v>
      </c>
      <c r="H8" s="14">
        <v>0.05</v>
      </c>
      <c r="I8" s="13" t="s">
        <v>124</v>
      </c>
      <c r="J8" s="15">
        <f>IF(H8="","",$B$12+$B$13+IF(I8="Người của mình",H8*$B$14*$B$15/60,0))</f>
        <v>516.5</v>
      </c>
      <c r="K8" s="16">
        <f>IF(J8="","",IFERROR(($B$16-$B$17*J8)/$B$16,""))</f>
        <v>0.77102267002518887</v>
      </c>
      <c r="L8" s="17" t="str">
        <f>IF(K8="","",IF(K8&gt;=0.6,"Đạt","Dưới ngưỡng"))</f>
        <v>Đạt</v>
      </c>
      <c r="M8" s="17" t="str">
        <f>IF(E8="","",IF(SUMPRODUCT(--ISNUMBER(SEARCH({"0","1","2","3","4","5","6","7","8","9"},E8)))&gt;0,"Có","Thiếu"))</f>
        <v>Có</v>
      </c>
    </row>
    <row r="11" spans="1:13" ht="15" customHeight="1" x14ac:dyDescent="0.3">
      <c r="A11" s="8" t="s">
        <v>143</v>
      </c>
    </row>
    <row r="12" spans="1:13" ht="15" customHeight="1" x14ac:dyDescent="0.3">
      <c r="A12" s="18" t="s">
        <v>144</v>
      </c>
      <c r="B12" s="19">
        <v>254</v>
      </c>
      <c r="C12" s="20" t="s">
        <v>145</v>
      </c>
    </row>
    <row r="13" spans="1:13" ht="15" customHeight="1" x14ac:dyDescent="0.3">
      <c r="A13" s="18" t="s">
        <v>146</v>
      </c>
      <c r="B13" s="19">
        <v>200</v>
      </c>
      <c r="C13" s="20" t="s">
        <v>147</v>
      </c>
    </row>
    <row r="14" spans="1:13" ht="15" customHeight="1" x14ac:dyDescent="0.3">
      <c r="A14" s="18" t="s">
        <v>148</v>
      </c>
      <c r="B14" s="21">
        <v>1.5</v>
      </c>
      <c r="C14" s="20" t="s">
        <v>149</v>
      </c>
    </row>
    <row r="15" spans="1:13" ht="15" customHeight="1" x14ac:dyDescent="0.3">
      <c r="A15" s="18" t="s">
        <v>150</v>
      </c>
      <c r="B15" s="19">
        <v>50000</v>
      </c>
      <c r="C15" s="20" t="s">
        <v>151</v>
      </c>
    </row>
    <row r="16" spans="1:13" ht="15" customHeight="1" x14ac:dyDescent="0.3">
      <c r="A16" s="18" t="s">
        <v>152</v>
      </c>
      <c r="B16" s="19">
        <v>3970000</v>
      </c>
      <c r="C16" s="20" t="s">
        <v>153</v>
      </c>
    </row>
    <row r="17" spans="1:3" ht="15" customHeight="1" x14ac:dyDescent="0.3">
      <c r="A17" s="18" t="s">
        <v>154</v>
      </c>
      <c r="B17" s="19">
        <v>1760</v>
      </c>
      <c r="C17" s="20" t="s">
        <v>155</v>
      </c>
    </row>
    <row r="18" spans="1:3" ht="15" customHeight="1" x14ac:dyDescent="0.3">
      <c r="A18" s="18" t="s">
        <v>156</v>
      </c>
      <c r="B18" s="13" t="s">
        <v>157</v>
      </c>
      <c r="C18" s="20" t="s">
        <v>158</v>
      </c>
    </row>
    <row r="19" spans="1:3" ht="15" customHeight="1" x14ac:dyDescent="0.3">
      <c r="A19" s="18" t="s">
        <v>159</v>
      </c>
      <c r="B19" s="13" t="s">
        <v>160</v>
      </c>
      <c r="C19" s="20" t="s">
        <v>161</v>
      </c>
    </row>
    <row r="20" spans="1:3" ht="15" customHeight="1" x14ac:dyDescent="0.3">
      <c r="A20" s="18" t="s">
        <v>162</v>
      </c>
      <c r="B20" s="22">
        <v>7</v>
      </c>
      <c r="C20" s="20" t="s">
        <v>163</v>
      </c>
    </row>
    <row r="22" spans="1:3" ht="15" customHeight="1" x14ac:dyDescent="0.3">
      <c r="A22" s="20" t="s">
        <v>164</v>
      </c>
    </row>
    <row r="23" spans="1:3" ht="15" customHeight="1" x14ac:dyDescent="0.3">
      <c r="A23" s="20"/>
    </row>
  </sheetData>
  <sheetProtection sheet="1" formatColumns="0" formatRows="0"/>
  <dataValidations count="2">
    <dataValidation type="list" allowBlank="1" sqref="I5:I8" xr:uid="{00000000-0002-0000-0300-000000000000}">
      <formula1>"Người của mình,Nhân viên cửa hàng"</formula1>
      <formula2>0</formula2>
    </dataValidation>
    <dataValidation type="decimal" allowBlank="1" sqref="H5:H8" xr:uid="{00000000-0002-0000-0300-000001000000}">
      <formula1>0</formula1>
      <formula2>1</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2"/>
  <sheetViews>
    <sheetView zoomScaleNormal="100" workbookViewId="0"/>
  </sheetViews>
  <sheetFormatPr defaultColWidth="8.6640625" defaultRowHeight="14.4" x14ac:dyDescent="0.3"/>
  <cols>
    <col min="1" max="1" width="30" customWidth="1"/>
    <col min="2" max="4" width="42" customWidth="1"/>
  </cols>
  <sheetData>
    <row r="1" spans="1:4" ht="17.25" customHeight="1" x14ac:dyDescent="0.3">
      <c r="A1" s="1" t="s">
        <v>165</v>
      </c>
    </row>
    <row r="2" spans="1:4" ht="15" customHeight="1" x14ac:dyDescent="0.3">
      <c r="A2" s="2" t="s">
        <v>166</v>
      </c>
    </row>
    <row r="4" spans="1:4" ht="15" customHeight="1" x14ac:dyDescent="0.3">
      <c r="A4" s="9" t="s">
        <v>167</v>
      </c>
      <c r="B4" s="9" t="s">
        <v>168</v>
      </c>
      <c r="C4" s="9" t="s">
        <v>169</v>
      </c>
      <c r="D4" s="9" t="s">
        <v>170</v>
      </c>
    </row>
    <row r="5" spans="1:4" ht="48" customHeight="1" x14ac:dyDescent="0.3">
      <c r="A5" s="23" t="s">
        <v>171</v>
      </c>
      <c r="B5" s="7" t="s">
        <v>172</v>
      </c>
      <c r="C5" s="7" t="s">
        <v>173</v>
      </c>
      <c r="D5" s="7" t="s">
        <v>174</v>
      </c>
    </row>
    <row r="6" spans="1:4" ht="48" customHeight="1" x14ac:dyDescent="0.3">
      <c r="A6" s="23" t="s">
        <v>175</v>
      </c>
      <c r="B6" s="7" t="s">
        <v>176</v>
      </c>
      <c r="C6" s="7" t="s">
        <v>177</v>
      </c>
      <c r="D6" s="7" t="s">
        <v>178</v>
      </c>
    </row>
    <row r="7" spans="1:4" ht="48" customHeight="1" x14ac:dyDescent="0.3">
      <c r="A7" s="23" t="s">
        <v>51</v>
      </c>
      <c r="B7" s="7" t="s">
        <v>179</v>
      </c>
      <c r="C7" s="7" t="s">
        <v>180</v>
      </c>
      <c r="D7" s="7" t="s">
        <v>181</v>
      </c>
    </row>
    <row r="8" spans="1:4" ht="48" customHeight="1" x14ac:dyDescent="0.3">
      <c r="A8" s="23" t="s">
        <v>182</v>
      </c>
      <c r="B8" s="7" t="s">
        <v>183</v>
      </c>
      <c r="C8" s="7" t="s">
        <v>184</v>
      </c>
      <c r="D8" s="7" t="s">
        <v>185</v>
      </c>
    </row>
    <row r="9" spans="1:4" ht="48" customHeight="1" x14ac:dyDescent="0.3">
      <c r="A9" s="23" t="s">
        <v>186</v>
      </c>
      <c r="B9" s="7" t="s">
        <v>187</v>
      </c>
      <c r="C9" s="7" t="s">
        <v>188</v>
      </c>
      <c r="D9" s="7" t="s">
        <v>189</v>
      </c>
    </row>
    <row r="10" spans="1:4" ht="48" customHeight="1" x14ac:dyDescent="0.3">
      <c r="A10" s="23" t="s">
        <v>190</v>
      </c>
      <c r="B10" s="7" t="s">
        <v>191</v>
      </c>
      <c r="C10" s="7" t="s">
        <v>192</v>
      </c>
      <c r="D10" s="7" t="s">
        <v>193</v>
      </c>
    </row>
    <row r="11" spans="1:4" ht="48" customHeight="1" x14ac:dyDescent="0.3">
      <c r="A11" s="23" t="s">
        <v>194</v>
      </c>
      <c r="B11" s="7" t="s">
        <v>195</v>
      </c>
      <c r="C11" s="7" t="s">
        <v>196</v>
      </c>
      <c r="D11" s="7" t="s">
        <v>197</v>
      </c>
    </row>
    <row r="12" spans="1:4" ht="48" customHeight="1" x14ac:dyDescent="0.3">
      <c r="A12" s="23" t="s">
        <v>198</v>
      </c>
      <c r="B12" s="7" t="s">
        <v>199</v>
      </c>
      <c r="C12" s="7" t="s">
        <v>200</v>
      </c>
      <c r="D12" s="7" t="s">
        <v>201</v>
      </c>
    </row>
  </sheetData>
  <sheetProtection sheet="1" formatColumns="0" formatRows="0"/>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2"/>
  <sheetViews>
    <sheetView zoomScaleNormal="100" workbookViewId="0"/>
  </sheetViews>
  <sheetFormatPr defaultColWidth="8.6640625" defaultRowHeight="14.4" x14ac:dyDescent="0.3"/>
  <cols>
    <col min="1" max="1" width="34" customWidth="1"/>
    <col min="2" max="3" width="40" customWidth="1"/>
    <col min="4" max="4" width="28" customWidth="1"/>
  </cols>
  <sheetData>
    <row r="1" spans="1:4" ht="17.25" customHeight="1" x14ac:dyDescent="0.3">
      <c r="A1" s="1" t="s">
        <v>202</v>
      </c>
    </row>
    <row r="2" spans="1:4" ht="15" customHeight="1" x14ac:dyDescent="0.3">
      <c r="A2" s="2" t="s">
        <v>203</v>
      </c>
    </row>
    <row r="4" spans="1:4" ht="15" customHeight="1" x14ac:dyDescent="0.3">
      <c r="A4" s="9" t="s">
        <v>204</v>
      </c>
      <c r="B4" s="9" t="s">
        <v>205</v>
      </c>
      <c r="C4" s="9" t="s">
        <v>206</v>
      </c>
      <c r="D4" s="9" t="s">
        <v>207</v>
      </c>
    </row>
    <row r="5" spans="1:4" ht="15" customHeight="1" x14ac:dyDescent="0.3">
      <c r="A5" s="7" t="s">
        <v>208</v>
      </c>
      <c r="B5" s="7" t="s">
        <v>209</v>
      </c>
      <c r="C5" s="7" t="s">
        <v>210</v>
      </c>
      <c r="D5" s="7" t="s">
        <v>211</v>
      </c>
    </row>
    <row r="6" spans="1:4" ht="15" customHeight="1" x14ac:dyDescent="0.3">
      <c r="A6" s="7" t="s">
        <v>212</v>
      </c>
      <c r="B6" s="7" t="s">
        <v>213</v>
      </c>
      <c r="C6" s="7" t="s">
        <v>214</v>
      </c>
      <c r="D6" s="7" t="s">
        <v>215</v>
      </c>
    </row>
    <row r="7" spans="1:4" ht="15" customHeight="1" x14ac:dyDescent="0.3">
      <c r="A7" s="7" t="s">
        <v>216</v>
      </c>
      <c r="B7" s="7" t="s">
        <v>217</v>
      </c>
      <c r="C7" s="7" t="s">
        <v>218</v>
      </c>
      <c r="D7" s="7" t="s">
        <v>219</v>
      </c>
    </row>
    <row r="8" spans="1:4" ht="15" customHeight="1" x14ac:dyDescent="0.3">
      <c r="A8" s="7" t="s">
        <v>220</v>
      </c>
      <c r="B8" s="7" t="s">
        <v>221</v>
      </c>
      <c r="C8" s="7" t="s">
        <v>222</v>
      </c>
      <c r="D8" s="7" t="s">
        <v>223</v>
      </c>
    </row>
    <row r="9" spans="1:4" ht="15" customHeight="1" x14ac:dyDescent="0.3">
      <c r="A9" s="7" t="s">
        <v>224</v>
      </c>
      <c r="B9" s="7" t="s">
        <v>225</v>
      </c>
      <c r="C9" s="7" t="s">
        <v>226</v>
      </c>
      <c r="D9" s="7" t="s">
        <v>219</v>
      </c>
    </row>
    <row r="10" spans="1:4" ht="15" customHeight="1" x14ac:dyDescent="0.3">
      <c r="A10" s="7" t="s">
        <v>227</v>
      </c>
      <c r="B10" s="7" t="s">
        <v>228</v>
      </c>
      <c r="C10" s="7" t="s">
        <v>229</v>
      </c>
      <c r="D10" s="7" t="s">
        <v>230</v>
      </c>
    </row>
    <row r="12" spans="1:4" ht="15" customHeight="1" x14ac:dyDescent="0.3">
      <c r="A12" s="20" t="s">
        <v>231</v>
      </c>
    </row>
  </sheetData>
  <sheetProtection sheet="1" formatColumns="0" formatRows="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zoomScaleNormal="100" workbookViewId="0"/>
  </sheetViews>
  <sheetFormatPr defaultColWidth="8.6640625" defaultRowHeight="14.4" x14ac:dyDescent="0.3"/>
  <cols>
    <col min="1" max="1" width="32" customWidth="1"/>
    <col min="2" max="2" width="90" customWidth="1"/>
    <col min="3" max="3" width="8" customWidth="1"/>
    <col min="4" max="4" width="12" customWidth="1"/>
  </cols>
  <sheetData>
    <row r="1" spans="1:4" ht="17.25" customHeight="1" x14ac:dyDescent="0.3">
      <c r="A1" s="1" t="s">
        <v>232</v>
      </c>
    </row>
    <row r="2" spans="1:4" ht="15" customHeight="1" x14ac:dyDescent="0.3">
      <c r="A2" s="2" t="s">
        <v>233</v>
      </c>
    </row>
    <row r="3" spans="1:4" ht="15" customHeight="1" x14ac:dyDescent="0.3">
      <c r="C3" s="24" t="s">
        <v>234</v>
      </c>
      <c r="D3" s="24" t="s">
        <v>235</v>
      </c>
    </row>
    <row r="4" spans="1:4" ht="33.75" customHeight="1" x14ac:dyDescent="0.3">
      <c r="A4" s="24" t="s">
        <v>236</v>
      </c>
      <c r="B4" s="7" t="s">
        <v>237</v>
      </c>
      <c r="C4" s="25">
        <f>IF(TRIM(B4)="",0,LEN(TRIM(B4))-LEN(SUBSTITUTE(TRIM(B4)," ",""))+1)</f>
        <v>33</v>
      </c>
      <c r="D4" s="17" t="str">
        <f>IF(C4=0,"Trống",IF(C4&gt;60,"Quá 60 chữ","Đạt"))</f>
        <v>Đạt</v>
      </c>
    </row>
    <row r="5" spans="1:4" ht="33.75" customHeight="1" x14ac:dyDescent="0.3">
      <c r="A5" s="24" t="s">
        <v>238</v>
      </c>
      <c r="B5" s="7" t="s">
        <v>239</v>
      </c>
      <c r="C5" s="25">
        <f>IF(TRIM(B5)="",0,LEN(TRIM(B5))-LEN(SUBSTITUTE(TRIM(B5)," ",""))+1)</f>
        <v>44</v>
      </c>
      <c r="D5" s="17" t="str">
        <f>IF(C5=0,"Trống",IF(C5&gt;60,"Quá 60 chữ","Đạt"))</f>
        <v>Đạt</v>
      </c>
    </row>
    <row r="6" spans="1:4" ht="33.75" customHeight="1" x14ac:dyDescent="0.3">
      <c r="A6" s="24" t="s">
        <v>240</v>
      </c>
      <c r="B6" s="7" t="s">
        <v>241</v>
      </c>
      <c r="C6" s="25">
        <f>IF(TRIM(B6)="",0,LEN(TRIM(B6))-LEN(SUBSTITUTE(TRIM(B6)," ",""))+1)</f>
        <v>29</v>
      </c>
      <c r="D6" s="17" t="str">
        <f>IF(C6=0,"Trống",IF(C6&gt;60,"Quá 60 chữ","Đạt"))</f>
        <v>Đạt</v>
      </c>
    </row>
    <row r="7" spans="1:4" ht="33.75" customHeight="1" x14ac:dyDescent="0.3">
      <c r="A7" s="24" t="s">
        <v>242</v>
      </c>
      <c r="B7" s="7" t="s">
        <v>243</v>
      </c>
      <c r="C7" s="25">
        <f>IF(TRIM(B7)="",0,LEN(TRIM(B7))-LEN(SUBSTITUTE(TRIM(B7)," ",""))+1)</f>
        <v>34</v>
      </c>
      <c r="D7" s="17" t="str">
        <f>IF(C7=0,"Trống",IF(C7&gt;60,"Quá 60 chữ","Đạt"))</f>
        <v>Đạt</v>
      </c>
    </row>
    <row r="8" spans="1:4" ht="33.75" customHeight="1" x14ac:dyDescent="0.3">
      <c r="A8" s="24" t="s">
        <v>244</v>
      </c>
      <c r="B8" s="7" t="s">
        <v>245</v>
      </c>
      <c r="C8" s="25">
        <f>IF(TRIM(B8)="",0,LEN(TRIM(B8))-LEN(SUBSTITUTE(TRIM(B8)," ",""))+1)</f>
        <v>24</v>
      </c>
      <c r="D8" s="17" t="str">
        <f>IF(C8=0,"Trống",IF(C8&gt;60,"Quá 60 chữ","Đạt"))</f>
        <v>Đạt</v>
      </c>
    </row>
  </sheetData>
  <sheetProtection sheet="1" formatColumns="0" formatRows="0"/>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zoomScaleNormal="100" workbookViewId="0"/>
  </sheetViews>
  <sheetFormatPr defaultColWidth="8.6640625" defaultRowHeight="14.4" x14ac:dyDescent="0.3"/>
  <cols>
    <col min="1" max="1" width="66" customWidth="1"/>
    <col min="2" max="3" width="14" customWidth="1"/>
  </cols>
  <sheetData>
    <row r="1" spans="1:3" ht="17.25" customHeight="1" x14ac:dyDescent="0.3">
      <c r="A1" s="1" t="s">
        <v>246</v>
      </c>
    </row>
    <row r="2" spans="1:3" ht="15" customHeight="1" x14ac:dyDescent="0.3">
      <c r="A2" s="2" t="s">
        <v>247</v>
      </c>
    </row>
    <row r="4" spans="1:3" ht="15" customHeight="1" x14ac:dyDescent="0.3">
      <c r="A4" s="9" t="s">
        <v>248</v>
      </c>
      <c r="B4" s="9" t="s">
        <v>249</v>
      </c>
      <c r="C4" s="9" t="s">
        <v>235</v>
      </c>
    </row>
    <row r="5" spans="1:3" ht="15" customHeight="1" x14ac:dyDescent="0.3">
      <c r="A5" s="10" t="s">
        <v>250</v>
      </c>
      <c r="B5" s="11">
        <f>COUNT('1_Danh sách việc'!M5:M14)</f>
        <v>7</v>
      </c>
      <c r="C5" s="11" t="str">
        <f>IF(B5&gt;=5,"Đạt","Xem lại")</f>
        <v>Đạt</v>
      </c>
    </row>
    <row r="6" spans="1:3" ht="15" customHeight="1" x14ac:dyDescent="0.3">
      <c r="A6" s="10" t="s">
        <v>251</v>
      </c>
      <c r="B6" s="11">
        <f>COUNTIFS('1_Danh sách việc'!O5:O14,"Thiếu",'1_Danh sách việc'!P5:P14,"&lt;&gt;Không làm")</f>
        <v>0</v>
      </c>
      <c r="C6" s="11" t="str">
        <f>IF(B5=0,"",IF(B6=0,"Đạt","Xem lại"))</f>
        <v>Đạt</v>
      </c>
    </row>
    <row r="7" spans="1:3" ht="15" customHeight="1" x14ac:dyDescent="0.3">
      <c r="A7" s="10" t="s">
        <v>252</v>
      </c>
      <c r="B7" s="11">
        <f>COUNTIF('2_Mức tự động'!M6:M8,"Có")</f>
        <v>3</v>
      </c>
      <c r="C7" s="11" t="str">
        <f>IF(B7&gt;=2,"Đạt","Xem lại")</f>
        <v>Đạt</v>
      </c>
    </row>
    <row r="8" spans="1:3" ht="15" customHeight="1" x14ac:dyDescent="0.3">
      <c r="A8" s="10" t="s">
        <v>253</v>
      </c>
      <c r="B8" s="11">
        <f>COUNTA('3_Bảng lộ trình'!B5:B12)</f>
        <v>8</v>
      </c>
      <c r="C8" s="11" t="str">
        <f>IF(B8=8,"Đạt","Xem lại")</f>
        <v>Đạt</v>
      </c>
    </row>
    <row r="9" spans="1:3" ht="15" customHeight="1" x14ac:dyDescent="0.3">
      <c r="A9" s="10" t="s">
        <v>254</v>
      </c>
      <c r="B9" s="11" t="str">
        <f>IF(AND(LEN('3_Bảng lộ trình'!B12)&gt;10,SUMPRODUCT(--ISNUMBER(SEARCH({"0","1","2","3","4","5","6","7","8","9"},'3_Bảng lộ trình'!B12)))&gt;0),"Có","Chưa")</f>
        <v>Có</v>
      </c>
      <c r="C9" s="11" t="str">
        <f>IF(B9="Có","Đạt","Xem lại")</f>
        <v>Đạt</v>
      </c>
    </row>
    <row r="10" spans="1:3" ht="15" customHeight="1" x14ac:dyDescent="0.3">
      <c r="A10" s="10" t="s">
        <v>255</v>
      </c>
      <c r="B10" s="11" t="str">
        <f>IF(AND(LEN('3_Bảng lộ trình'!B11)&gt;10,SUMPRODUCT(--ISNUMBER(SEARCH({"0","1","2","3","4","5","6","7","8","9"},'3_Bảng lộ trình'!B11)))&gt;0),"Có","Chưa")</f>
        <v>Có</v>
      </c>
      <c r="C10" s="11" t="str">
        <f>IF(B10="Có","Đạt","Xem lại")</f>
        <v>Đạt</v>
      </c>
    </row>
    <row r="11" spans="1:3" ht="15" customHeight="1" x14ac:dyDescent="0.3">
      <c r="A11" s="10" t="s">
        <v>256</v>
      </c>
      <c r="B11" s="11">
        <f>COUNTIF('5_Slide lãnh đạo'!D4:D8,"Đạt")</f>
        <v>5</v>
      </c>
      <c r="C11" s="11" t="str">
        <f>IF(B11=5,"Đạt","Xem lại")</f>
        <v>Đạt</v>
      </c>
    </row>
    <row r="12" spans="1:3" ht="15" customHeight="1" x14ac:dyDescent="0.3">
      <c r="A12" s="10" t="s">
        <v>257</v>
      </c>
      <c r="B12" s="11">
        <f>COUNTIF('2_Mức tự động'!L5:L8,"Đạt")</f>
        <v>3</v>
      </c>
      <c r="C12" s="11" t="str">
        <f>IF(B12&gt;=1,"Đạt","Xem lại")</f>
        <v>Đạt</v>
      </c>
    </row>
  </sheetData>
  <sheetProtection sheet="1" formatColumns="0" formatRows="0"/>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2"/>
  <sheetViews>
    <sheetView zoomScaleNormal="100" workbookViewId="0"/>
  </sheetViews>
  <sheetFormatPr defaultColWidth="8.6640625" defaultRowHeight="14.4" x14ac:dyDescent="0.3"/>
  <cols>
    <col min="1" max="1" width="32" customWidth="1"/>
    <col min="2" max="2" width="30" customWidth="1"/>
    <col min="3" max="3" width="80" customWidth="1"/>
    <col min="4" max="4" width="40" customWidth="1"/>
  </cols>
  <sheetData>
    <row r="1" spans="1:4" ht="17.25" customHeight="1" x14ac:dyDescent="0.3">
      <c r="A1" s="1" t="s">
        <v>258</v>
      </c>
    </row>
    <row r="2" spans="1:4" ht="15" customHeight="1" x14ac:dyDescent="0.3">
      <c r="A2" s="2"/>
    </row>
    <row r="4" spans="1:4" ht="15" customHeight="1" x14ac:dyDescent="0.3">
      <c r="A4" s="9" t="s">
        <v>259</v>
      </c>
      <c r="B4" s="9" t="s">
        <v>260</v>
      </c>
      <c r="C4" s="9" t="s">
        <v>261</v>
      </c>
      <c r="D4" s="9" t="s">
        <v>262</v>
      </c>
    </row>
    <row r="5" spans="1:4" ht="15" customHeight="1" x14ac:dyDescent="0.3">
      <c r="A5" s="10" t="s">
        <v>263</v>
      </c>
      <c r="B5">
        <v>20</v>
      </c>
      <c r="C5" s="26" t="s">
        <v>264</v>
      </c>
      <c r="D5" s="27"/>
    </row>
    <row r="6" spans="1:4" ht="15" customHeight="1" x14ac:dyDescent="0.3">
      <c r="A6" s="10" t="s">
        <v>265</v>
      </c>
      <c r="B6">
        <v>20</v>
      </c>
      <c r="C6" s="26" t="s">
        <v>266</v>
      </c>
      <c r="D6" s="27"/>
    </row>
    <row r="7" spans="1:4" ht="15" customHeight="1" x14ac:dyDescent="0.3">
      <c r="A7" s="10" t="s">
        <v>267</v>
      </c>
      <c r="B7">
        <v>25</v>
      </c>
      <c r="C7" s="26" t="s">
        <v>268</v>
      </c>
      <c r="D7" s="27"/>
    </row>
    <row r="8" spans="1:4" ht="15" customHeight="1" x14ac:dyDescent="0.3">
      <c r="A8" s="10" t="s">
        <v>269</v>
      </c>
      <c r="B8">
        <v>15</v>
      </c>
      <c r="C8" s="26" t="s">
        <v>270</v>
      </c>
      <c r="D8" s="27"/>
    </row>
    <row r="9" spans="1:4" ht="15" customHeight="1" x14ac:dyDescent="0.3">
      <c r="A9" s="10" t="s">
        <v>271</v>
      </c>
      <c r="B9">
        <v>20</v>
      </c>
      <c r="C9" s="26" t="s">
        <v>272</v>
      </c>
      <c r="D9" s="27"/>
    </row>
    <row r="10" spans="1:4" ht="15" customHeight="1" x14ac:dyDescent="0.3">
      <c r="A10" s="8" t="s">
        <v>273</v>
      </c>
      <c r="B10">
        <f>SUM(B5:B9)</f>
        <v>100</v>
      </c>
      <c r="D10" s="11">
        <f>SUM(D5:D9)</f>
        <v>0</v>
      </c>
    </row>
    <row r="12" spans="1:4" ht="15" customHeight="1" x14ac:dyDescent="0.3">
      <c r="A12" s="8"/>
      <c r="D12" s="27"/>
    </row>
    <row r="15" spans="1:4" ht="15" customHeight="1" x14ac:dyDescent="0.3">
      <c r="A15" s="28" t="s">
        <v>274</v>
      </c>
    </row>
    <row r="16" spans="1:4" ht="15" customHeight="1" x14ac:dyDescent="0.3">
      <c r="A16" s="9" t="s">
        <v>259</v>
      </c>
      <c r="B16" s="9" t="s">
        <v>275</v>
      </c>
      <c r="C16" s="9" t="s">
        <v>276</v>
      </c>
      <c r="D16" s="9" t="s">
        <v>277</v>
      </c>
    </row>
    <row r="17" spans="1:4" ht="45.75" customHeight="1" x14ac:dyDescent="0.3">
      <c r="A17" s="29" t="s">
        <v>278</v>
      </c>
      <c r="B17" s="30" t="s">
        <v>279</v>
      </c>
      <c r="C17" s="30" t="s">
        <v>280</v>
      </c>
      <c r="D17" s="30" t="s">
        <v>281</v>
      </c>
    </row>
    <row r="18" spans="1:4" ht="45.75" customHeight="1" x14ac:dyDescent="0.3">
      <c r="A18" s="29" t="s">
        <v>282</v>
      </c>
      <c r="B18" s="30" t="s">
        <v>283</v>
      </c>
      <c r="C18" s="30" t="s">
        <v>284</v>
      </c>
      <c r="D18" s="30" t="s">
        <v>285</v>
      </c>
    </row>
    <row r="19" spans="1:4" ht="45.75" customHeight="1" x14ac:dyDescent="0.3">
      <c r="A19" s="29" t="s">
        <v>286</v>
      </c>
      <c r="B19" s="30" t="s">
        <v>287</v>
      </c>
      <c r="C19" s="30" t="s">
        <v>288</v>
      </c>
      <c r="D19" s="30" t="s">
        <v>289</v>
      </c>
    </row>
    <row r="20" spans="1:4" ht="45.75" customHeight="1" x14ac:dyDescent="0.3">
      <c r="A20" s="29" t="s">
        <v>290</v>
      </c>
      <c r="B20" s="30" t="s">
        <v>291</v>
      </c>
      <c r="C20" s="30" t="s">
        <v>292</v>
      </c>
      <c r="D20" s="30" t="s">
        <v>293</v>
      </c>
    </row>
    <row r="22" spans="1:4" ht="15" customHeight="1" x14ac:dyDescent="0.3">
      <c r="A22" s="20" t="s">
        <v>294</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0_Hướng dẫn</vt:lpstr>
      <vt:lpstr>0_Đầu vào</vt:lpstr>
      <vt:lpstr>1_Danh sách việc</vt:lpstr>
      <vt:lpstr>2_Mức tự động</vt:lpstr>
      <vt:lpstr>3_Bảng lộ trình</vt:lpstr>
      <vt:lpstr>4_Rà soát</vt:lpstr>
      <vt:lpstr>5_Slide lãnh đạo</vt:lpstr>
      <vt:lpstr>6_Tự kiểm tra</vt:lpstr>
      <vt:lpstr>7_Thang điểm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THI THU TRANG (S.AI.20K)</cp:lastModifiedBy>
  <cp:revision>0</cp:revision>
  <dcterms:created xsi:type="dcterms:W3CDTF">2026-10-04T05:24:07Z</dcterms:created>
  <dcterms:modified xsi:type="dcterms:W3CDTF">2026-10-16T10:02:42Z</dcterms:modified>
  <dc:language>en-US</dc:language>
</cp:coreProperties>
</file>