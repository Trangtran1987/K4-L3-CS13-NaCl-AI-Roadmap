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K4-L3-CS13-NaCl-AI-Roadmap\mydocs\"/>
    </mc:Choice>
  </mc:AlternateContent>
  <xr:revisionPtr revIDLastSave="0" documentId="13_ncr:1_{F68988B4-1F4A-4D97-B438-500F342231F0}" xr6:coauthVersionLast="47" xr6:coauthVersionMax="47" xr10:uidLastSave="{00000000-0000-0000-0000-000000000000}"/>
  <bookViews>
    <workbookView xWindow="-108" yWindow="-108" windowWidth="23256" windowHeight="12576" tabRatio="500" xr2:uid="{00000000-000D-0000-FFFF-FFFF00000000}"/>
  </bookViews>
  <sheets>
    <sheet name="0_Hướng dẫn" sheetId="1" r:id="rId1"/>
    <sheet name="0_Đầu vào" sheetId="2" r:id="rId2"/>
    <sheet name="1_Danh sách việc" sheetId="3" r:id="rId3"/>
    <sheet name="2_Mức tự động" sheetId="4" r:id="rId4"/>
    <sheet name="3_Bảng lộ trình" sheetId="5" r:id="rId5"/>
    <sheet name="4_Rà soát" sheetId="6" r:id="rId6"/>
    <sheet name="5_Slide lãnh đạo" sheetId="7" r:id="rId7"/>
    <sheet name="6_Tự kiểm tra" sheetId="8" r:id="rId8"/>
    <sheet name="7_Thang điểm"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9" l="1"/>
  <c r="B10" i="9"/>
  <c r="B10" i="8"/>
  <c r="C10" i="8" s="1"/>
  <c r="B9" i="8"/>
  <c r="C9" i="8" s="1"/>
  <c r="B8" i="8"/>
  <c r="C8" i="8" s="1"/>
  <c r="C8" i="7"/>
  <c r="D8" i="7" s="1"/>
  <c r="C7" i="7"/>
  <c r="D7" i="7" s="1"/>
  <c r="C6" i="7"/>
  <c r="D6" i="7" s="1"/>
  <c r="C5" i="7"/>
  <c r="D5" i="7" s="1"/>
  <c r="C4" i="7"/>
  <c r="D4" i="7" s="1"/>
  <c r="M8" i="4"/>
  <c r="J8" i="4"/>
  <c r="K8" i="4" s="1"/>
  <c r="L8" i="4" s="1"/>
  <c r="M7" i="4"/>
  <c r="J7" i="4"/>
  <c r="K7" i="4" s="1"/>
  <c r="L7" i="4" s="1"/>
  <c r="M6" i="4"/>
  <c r="B7" i="8" s="1"/>
  <c r="C7" i="8" s="1"/>
  <c r="J6" i="4"/>
  <c r="K6" i="4" s="1"/>
  <c r="L6" i="4" s="1"/>
  <c r="K5" i="4"/>
  <c r="L5" i="4" s="1"/>
  <c r="J5" i="4"/>
  <c r="O14" i="3"/>
  <c r="M14" i="3"/>
  <c r="N14" i="3" s="1"/>
  <c r="O13" i="3"/>
  <c r="M13" i="3"/>
  <c r="N13" i="3" s="1"/>
  <c r="O12" i="3"/>
  <c r="M12" i="3"/>
  <c r="N12" i="3" s="1"/>
  <c r="O11" i="3"/>
  <c r="M11" i="3"/>
  <c r="N11" i="3" s="1"/>
  <c r="O10" i="3"/>
  <c r="M10" i="3"/>
  <c r="O9" i="3"/>
  <c r="M9" i="3"/>
  <c r="O8" i="3"/>
  <c r="M8" i="3"/>
  <c r="O7" i="3"/>
  <c r="M7" i="3"/>
  <c r="N7" i="3" s="1"/>
  <c r="O6" i="3"/>
  <c r="M6" i="3"/>
  <c r="O5" i="3"/>
  <c r="B6" i="8" s="1"/>
  <c r="M5" i="3"/>
  <c r="N5" i="3" s="1"/>
  <c r="B12" i="2"/>
  <c r="N9" i="3" l="1"/>
  <c r="N8" i="3"/>
  <c r="N10" i="3"/>
  <c r="B5" i="8"/>
  <c r="C6" i="8" s="1"/>
  <c r="N6" i="3"/>
  <c r="B11" i="8"/>
  <c r="C11" i="8" s="1"/>
  <c r="B12" i="8"/>
  <c r="C12" i="8" s="1"/>
  <c r="C5" i="8"/>
</calcChain>
</file>

<file path=xl/sharedStrings.xml><?xml version="1.0" encoding="utf-8"?>
<sst xmlns="http://schemas.openxmlformats.org/spreadsheetml/2006/main" count="310" uniqueCount="295">
  <si>
    <t>CS13 · Lộ trình sản phẩm AI — File thực hành · Đề 1 · SổSạch</t>
  </si>
  <si>
    <t>AI in Action · Track 1 · Khóa 4. FILE LÀM BÀI CỦA NHÓM · Đề 1 · SổSạch.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</si>
  <si>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</si>
  <si>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</si>
  <si>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1.</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</si>
  <si>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</si>
  <si>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</si>
  <si>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</si>
  <si>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</si>
  <si>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</si>
  <si>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</si>
  <si>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0 · Nhiệm vụ 0: đọc hồ sơ tình huống, Đề 1 (5 phút)</t>
  </si>
  <si>
    <t>Cả nhóm đọc cùng một hồ sơ trước khi điền. Nhiệm vụ 0 không tính điểm; đánh dấu "Có" khi cả nhóm đã đọc mục đó.</t>
  </si>
  <si>
    <t>Mục trong hồ sơ tình huống</t>
  </si>
  <si>
    <t>Nhóm đã đọc chưa?</t>
  </si>
  <si>
    <t>Dùng ở đâu trong file</t>
  </si>
  <si>
    <t>Lưu ý</t>
  </si>
  <si>
    <t>Ghi chú của nhóm</t>
  </si>
  <si>
    <t>Số liệu kinh tế của đề (9 dòng)</t>
  </si>
  <si>
    <t>Có</t>
  </si>
  <si>
    <t>Đã điền sẵn ở trang 2, dòng 12–20: chi phí mỗi việc, biên lợi nhuận, điều kiện dừng</t>
  </si>
  <si>
    <t>Đọc để hiểu; không cần chép</t>
  </si>
  <si>
    <t>Doanh thu 2.256 đ/việc (3.970.000 ÷ 1.760); hết tiền tháng 7 nếu xấu</t>
  </si>
  <si>
    <t>Bối cảnh, sản phẩm, "1 việc" là gì</t>
  </si>
  <si>
    <t>Giả thuyết và chỉ số ở trang 1</t>
  </si>
  <si>
    <t>Viết giả thuyết theo đúng "1 việc" của đề</t>
  </si>
  <si>
    <t>1 việc = 1 hoá đơn đọc, đối chiếu, nhập phần mềm kế toán</t>
  </si>
  <si>
    <t>6 việc gợi ý</t>
  </si>
  <si>
    <t>Trang 1, cột B–C; nhóm được thêm việc của mình</t>
  </si>
  <si>
    <t>Giữ, bỏ hay đổi thứ tự đều phải ghi lý do ở cột Q</t>
  </si>
  <si>
    <t>Giữ 6 việc, thêm việc 7: kiểm chứng doanh thu bình quân</t>
  </si>
  <si>
    <t>Kết quả đánh giá đã có (bộ đề, cổng phát hành)</t>
  </si>
  <si>
    <t>Cổng đánh giá ở trang 2; việc cần làm trước ở trang 3</t>
  </si>
  <si>
    <t>Đề 2, 3: kết luận chưa phải "Phát hành" → có việc phải làm trước</t>
  </si>
  <si>
    <t>Bản 2 đã Phát hành: 97,3%, 0 lỗi nghiêm trọng, kappa 0,90</t>
  </si>
  <si>
    <t>Chuyên gia và số giờ của họ</t>
  </si>
  <si>
    <t>Dòng "Điều kiện cần" ở trang 3; ô "Cần gì" ở trang 5</t>
  </si>
  <si>
    <t>Dẫn đúng số giờ trong hồ sơ</t>
  </si>
  <si>
    <t>1 vòng chấm 8,5 giờ; chị Hạnh 3 giờ/tuần + anh Tùng → ≈ 2 tuần/vòng</t>
  </si>
  <si>
    <t>Gợi ý về người duyệt và mức tự động</t>
  </si>
  <si>
    <t>Trang 2, cột H và I</t>
  </si>
  <si>
    <t>Đề 3: bác sĩ của bệnh viện không tính vào chi phí</t>
  </si>
  <si>
    <t>Người duyệt = kế toán viên công ty; Mức 1 ≈ 20%, Mức 2 ≈ 10%</t>
  </si>
  <si>
    <t>Số mục nhóm đã đọc</t>
  </si>
  <si>
    <t>Đủ 6/6 thì sang Nhiệm vụ 1.</t>
  </si>
  <si>
    <t>1 · Danh sách việc và chấm điểm ưu tiên</t>
  </si>
  <si>
    <t>Điểm = Độ phủ × Tác động × Mức tự tin ÷ Công sức × (0,5 + 0,5 × sẵn sàng trung bình của dữ liệu và đánh giá) × (1 − 0,5 × rủi ro bị 'nuốt')</t>
  </si>
  <si>
    <t>STT</t>
  </si>
  <si>
    <t>Việc</t>
  </si>
  <si>
    <t>Kết quả muốn đạt</t>
  </si>
  <si>
    <t>Giả thuyết (Ta tin rằng…)</t>
  </si>
  <si>
    <t>Chỉ số thành công và ngưỡng</t>
  </si>
  <si>
    <t>Độ phủ 1–5</t>
  </si>
  <si>
    <t>Tác động 1–5</t>
  </si>
  <si>
    <t>Mức tự tin 0,5 / 0,8 / 1</t>
  </si>
  <si>
    <t>Công sức 1–5</t>
  </si>
  <si>
    <t>Sẵn sàng dữ liệu 0–1</t>
  </si>
  <si>
    <t>Sẵn sàng đánh giá 0–1</t>
  </si>
  <si>
    <t>Rủi ro bị nuốt 0–1</t>
  </si>
  <si>
    <t>ĐIỂM</t>
  </si>
  <si>
    <t>Xếp hạng</t>
  </si>
  <si>
    <t>Chỉ số có con số?</t>
  </si>
  <si>
    <t>Tự làm / Mua / Chờ / Không làm</t>
  </si>
  <si>
    <t>Lý do (đổi thứ tự, chọn mua hay chờ…)</t>
  </si>
  <si>
    <t>Đọc ảnh hoá đơn giấy, ảnh chụp</t>
  </si>
  <si>
    <t>Giảm 50% giờ nhập hoá đơn ảnh</t>
  </si>
  <si>
    <t>Ta tin rằng bản 2 đọc ảnh theo hai bước (đã qua cổng 97,3%) sẽ giúp kế toán viên giảm 50% giờ nhập hoá đơn ảnh mà không sai tiền</t>
  </si>
  <si>
    <t>Giờ nhập hoá đơn ảnh/tuần giảm ≥ 50% so với trước thử nghiệm; đọc đúng MST và tổng tiền ≥ 99% trên ≥ 1.000 ảnh; lỗi tiền lọt = 0</t>
  </si>
  <si>
    <t>Tự làm</t>
  </si>
  <si>
    <t>Hạng 5 dù là lõi sản phẩm: bản 2 đã xây xong, việc còn lại là theo dõi khi lên mức. Rủi ro bị nuốt 0,3: mô hình nền đọc ảnh ngày càng tốt</t>
  </si>
  <si>
    <t>Gắn cờ hoá đơn cần người xem</t>
  </si>
  <si>
    <t>Kế toán chỉ xem khoảng 20% hoá đơn</t>
  </si>
  <si>
    <t>Ta tin rằng gắn cờ đúng các hoá đơn rủi ro sẽ giúp kế toán chỉ xem ~20% hoá đơn mà không lọt lỗi MST/tiền; đây là việc quyết định chi phí mỗi việc</t>
  </si>
  <si>
    <t>Tỷ lệ hoá đơn phải xem ≤ 20% (Mức 1), ≤ 10% (Mức 2); 100% hoá đơn sai MST/tiền bị gắn cờ trên ≥ 3.000 hoá đơn; cờ thừa ≤ 10%</t>
  </si>
  <si>
    <t>Hạng 2: là cổng để lên Mức 1, 2. Luật gắn cờ theo từng văn phòng là phần khác biệt, khó bị nuốt. Chị Hạnh: cờ thừa ít thì được, nửa số hoá đơn thì không</t>
  </si>
  <si>
    <t>Nhập tự động hoá đơn điện tử (tệp gốc)</t>
  </si>
  <si>
    <t>Giảm 70% thời gian nhập hoá đơn điện tử</t>
  </si>
  <si>
    <t>Ta tin rằng nối tệp gốc HĐĐT vào tính năng nhập có sẵn của phần mềm kế toán sẽ giảm 70% thời gian nhập HĐĐT với công sức thấp</t>
  </si>
  <si>
    <t>Thời gian nhập HĐĐT giảm ≥ 70%; ≥ 95% tệp gốc nhập không cần sửa trên ≥ 2.000 hoá đơn</t>
  </si>
  <si>
    <t>Mua</t>
  </si>
  <si>
    <t>Hạng 3 nhưng không tự xây: phần mềm kế toán đã có sẵn nhập từ tệp gốc (rủi ro bị nuốt 0,9). Chỉ làm cầu nối, đưa vào tầng Tiếp theo</t>
  </si>
  <si>
    <t>Đối chiếu mã số thuế người bán</t>
  </si>
  <si>
    <t>Không nhập nhầm người bán</t>
  </si>
  <si>
    <t>Ta tin rằng tra MST qua dịch vụ tra cứu trước khi nhập sẽ đưa lỗi nhầm người bán về 0, đúng luật của chị Hạnh: sai MST không được lần nào</t>
  </si>
  <si>
    <t>Nhập nhầm người bán = 0 trên ≥ 3.000 hoá đơn (chứng minh &lt; 0,1%); 100% hoá đơn được tra MST trước khi nhập; MST ngừng hoạt động bị gắn cờ 100%</t>
  </si>
  <si>
    <t>Hạng 1, làm đầu tiên: dịch vụ tra cứu MST có sẵn để tích hợp nên mua, không tự xây. Là điều kiện an toàn cho mọi mức tự động</t>
  </si>
  <si>
    <t>Gợi ý tài khoản hạch toán</t>
  </si>
  <si>
    <t>Giảm 30% thời gian hạch toán</t>
  </si>
  <si>
    <t>Ta tin rằng khi có đủ dữ liệu hạch toán cũ, gợi ý tài khoản sẽ giảm 30% thời gian hạch toán của kế toán viên</t>
  </si>
  <si>
    <t>Kế toán chấp nhận gợi ý ≥ 80%; thời gian hạch toán giảm ≥ 30%; cần ≥ 6 tháng dữ liệu hạch toán của ≥ 10 doanh nghiệp</t>
  </si>
  <si>
    <t>Chờ</t>
  </si>
  <si>
    <t>Hạng 6. Chờ: chưa có dữ liệu hạch toán của doanh nghiệp khách hàng. Bắt đầu thu dữ liệu (có đồng ý) từ tầng Tiếp theo, thử ở Sau này</t>
  </si>
  <si>
    <t>Trả lời câu hỏi thuế chung cho khách của văn phòng</t>
  </si>
  <si>
    <t>Bớt cuộc gọi hỏi đáp</t>
  </si>
  <si>
    <t>Ta tin rằng trả lời câu hỏi thuế chung sẽ bớt cuộc gọi hỏi đáp cho văn phòng</t>
  </si>
  <si>
    <t>Cuộc gọi hỏi đáp giảm ≥ 30% sau 2 tháng</t>
  </si>
  <si>
    <t>Không làm</t>
  </si>
  <si>
    <t>Hạng 7. Không làm: lệch khỏi '1 việc' (hoá đơn), không có bộ đề, rủi ro bị nuốt 0,9 vì trợ lý chung đã trả lời được; trả lời sai thuế là rủi ro pháp lý</t>
  </si>
  <si>
    <t>Kiểm chứng doanh thu bình quân trên ≥ 10 văn phòng nhiều quy mô</t>
  </si>
  <si>
    <t>Biết văn phòng nhỏ có trả đủ tiền không, trước khi hết tiền ở tháng 7</t>
  </si>
  <si>
    <t>Ta tin rằng văn phòng ngoài nhóm dùng nhiều vẫn trả đủ vì tiết kiệm giờ nhập liệu; cần kiểm chứng vì 65% doanh thu đến từ 30% văn phòng dùng nhiều</t>
  </si>
  <si>
    <t>≥ 10 văn phòng trả tiền; doanh thu bình quân ≥ 3,97 triệu và không dưới 3,71 triệu 2 tháng liên tiếp; văn phòng nhỏ giữ lại ≥ 70% sau 2 tháng</t>
  </si>
  <si>
    <t>Thêm việc: kiểm chứng biến nguy hiểm nhất (doanh thu bình quân) và điều kiện dừng 3,71 triệu. Không cần xây thêm tính năng</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</si>
  <si>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</si>
  <si>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</si>
  <si>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</si>
  <si>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</si>
  <si>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</si>
  <si>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</si>
  <si>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</si>
  <si>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</si>
  <si>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</si>
  <si>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</si>
  <si>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</si>
  <si>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</si>
  <si>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</si>
  <si>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</si>
  <si>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</si>
  <si>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Gợi ý</t>
  </si>
  <si>
    <t>AI đọc HĐĐT và ảnh, tra MST, điền sẵn vào phần mềm kế toán, gắn cờ</t>
  </si>
  <si>
    <t>Kế toán viên của công ty kiểm 100% trước khi nhập; tuần đầu chị Hạnh kiểm 1% hoá đơn thật, đếm riêng tỷ lệ cờ thừa</t>
  </si>
  <si>
    <t>— (mức khởi đầu: bản 2 đã qua cổng phát hành 97,3%, 0 lỗi nghiêm trọng, kappa 0,90)</t>
  </si>
  <si>
    <t>Kết nối phần mềm kế toán; tích hợp dịch vụ tra MST; nhật ký từng hoá đơn; thoả thuận bảo mật dữ liệu hoá đơn; báo văn phòng biết hoá đơn do AI đọc (Luật AI 134/2025/QH15)</t>
  </si>
  <si>
    <t>T1 (rút ngắn vì kịch bản xấu hết tiền tháng 7)</t>
  </si>
  <si>
    <t>Người của mình</t>
  </si>
  <si>
    <t>Hỗ trợ có duyệt</t>
  </si>
  <si>
    <t>AI tự nhập hoá đơn không bị gắn cờ</t>
  </si>
  <si>
    <t>Kế toán viên duyệt mọi hoá đơn gắn cờ (~10%) + mẫu ngẫu nhiên 10%; cảnh báo ngay khi có 1 lỗi MST/tiền</t>
  </si>
  <si>
    <t>Trên ≥ 3.000 hoá đơn thật đã kiểm 100% ở Mức 0: 0 lỗi MST/tiền lọt qua cờ (chứng minh &lt; 0,1%); tỷ lệ cờ ≤ 20%, cờ thừa ≤ 10%; bộ đề 40 ca ≥ 95%, kappa ≥ 0,6</t>
  </si>
  <si>
    <t>Bảng theo dõi tỷ lệ cờ và cờ thừa; hàng chờ duyệt hoá đơn gắn cờ; 1 vòng chấm bộ đề (8,5 giờ ≈ 2 tuần của chị Hạnh + anh Tùng)</t>
  </si>
  <si>
    <t>T2–T3</t>
  </si>
  <si>
    <t>Tự động một phần</t>
  </si>
  <si>
    <t>AI tự nhập, chỉ chuyển người hoá đơn gắn cờ; HĐĐT nhập qua tính năng có sẵn của phần mềm</t>
  </si>
  <si>
    <t>Kế toán viên duyệt hoá đơn gắn cờ (~7%) + mẫu 3%; chị Hạnh chấm lại bộ đề mỗi tháng</t>
  </si>
  <si>
    <t>Trên ≥ 10.000 hoá đơn ở Mức 1, ≥ 5 văn phòng: 0 lỗi MST/tiền (chứng minh &lt; 0,03%); kế toán sửa &lt; 2% trong mẫu; bộ đề mở rộng 100 ca ≥ 97%, 0 tầng tụt, tầng Nguy hiểm 100%</t>
  </si>
  <si>
    <t>Bộ đề lên 100 ca (thêm hoá đơn của văn phòng mới); quy trình xử lý khiếu nại; bắt đầu thu dữ liệu hạch toán có đồng ý của doanh nghiệp</t>
  </si>
  <si>
    <t>T4–T6</t>
  </si>
  <si>
    <t>Tự động có giám sát</t>
  </si>
  <si>
    <t>AI tự nhập HĐĐT tệp gốc đã khớp MST, không cần duyệt; ảnh chụp vẫn ở Mức 2</t>
  </si>
  <si>
    <t>Theo dõi bảng giám sát; kiểm mẫu 2% + hoá đơn gắn cờ (~3%); xử lý ngoại lệ</t>
  </si>
  <si>
    <t>Trên ≥ 30.000 HĐĐT ở Mức 2, ≥ 10 văn phòng: 0 lỗi MST/tiền (chứng minh &lt; 0,01%); khiếu nại của văn phòng = 0 trong 2 tháng</t>
  </si>
  <si>
    <t>Lưu vết để tra lại từng hoá đơn; rà mức rủi ro theo Luật AI 134/2025/QH15; doanh thu bình quân ≥ 3,71 triệu</t>
  </si>
  <si>
    <t>T8+ (chỉ khi qua điều kiện dừng ở ngày 90)</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</si>
  <si>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</si>
  <si>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</si>
  <si>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</si>
  <si>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</si>
  <si>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</si>
  <si>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</si>
  <si>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</si>
  <si>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</si>
  <si>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</si>
  <si>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</si>
  <si>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</si>
  <si>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</si>
  <si>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</si>
  <si>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</si>
  <si>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Doanh thu bình quân (65% doanh thu đến từ 30% văn phòng dùng nhiều)</t>
  </si>
  <si>
    <t>dòng 7</t>
  </si>
  <si>
    <t>Điều kiện dừng đã chọn (theo đề)</t>
  </si>
  <si>
    <t>NẾU doanh thu bình quân dưới 3,71 triệu/văn phòng trong 2 tháng liên tiếp, trên ít nhất 10 văn phòng, THÌ dừng mở rộng</t>
  </si>
  <si>
    <t>dòng 8</t>
  </si>
  <si>
    <t>Kịch bản xấu hết tiền ở tháng</t>
  </si>
  <si>
    <t>dòng 9</t>
  </si>
  <si>
    <t>Ghi chú: người duyệt của mình là kế toán viên của công ty. Gợi ý của đề: Mức 1 duyệt khoảng 20%; Mức 2 khoảng 10%.</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</si>
  <si>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</si>
  <si>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</si>
  <si>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</si>
  <si>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</si>
  <si>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</si>
  <si>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</si>
  <si>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</si>
  <si>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Đối chiếu MST (hạng 1, mua dịch vụ tra cứu) + gắn cờ hoá đơn (hạng 2) + kiểm chứng doanh thu trên ≥ 10 văn phòng (hạng 4); đọc ảnh bản 2 chạy từ Mức 0 lên Mức 1</t>
  </si>
  <si>
    <t>Lên Mức 2; nối nhập HĐĐT qua tính năng có sẵn của phần mềm kế toán (hạng 3, mua); mở rộng 10 → 20 văn phòng</t>
  </si>
  <si>
    <t>Mức 3 cho HĐĐT tệp gốc; thử gợi ý tài khoản hạch toán khi đủ dữ liệu. Không làm hỏi đáp thuế: rủi ro bị nuốt 0,9</t>
  </si>
  <si>
    <t>Giả thuyết</t>
  </si>
  <si>
    <t>Ta tin rằng tra MST trước khi nhập và gắn cờ đúng sẽ giúp kế toán chỉ xem ~20% hoá đơn mà không lọt lỗi MST/tiền; văn phòng tiết kiệm giờ thì trả ≥ 3,97 triệu/tháng</t>
  </si>
  <si>
    <t>Gắn cờ đã đủ tin cậy thì giảm duyệt xuống 10% mà không tăng lỗi</t>
  </si>
  <si>
    <t>Có ≥ 6 tháng dữ liệu hạch toán thì gợi ý tài khoản giảm 30% thời gian hạch toán</t>
  </si>
  <si>
    <t>Nhập nhầm người bán = 0; hoá đơn phải xem ≤ 20%; cờ thừa ≤ 10%; ≥ 10 văn phòng trả tiền, doanh thu bình quân ≥ 3,97 triệu</t>
  </si>
  <si>
    <t>Hoá đơn phải xem ≤ 10%; thời gian nhập HĐĐT giảm ≥ 70%; giờ nhập ảnh giảm ≥ 50%</t>
  </si>
  <si>
    <t>Kế toán chấp nhận gợi ý ≥ 80%; ≥ 90% HĐĐT tự nhập không cần duyệt</t>
  </si>
  <si>
    <t>Mức tự động (trang 2)</t>
  </si>
  <si>
    <t>Mức 0 (tháng 1) → Mức 1 (tháng 2–3)</t>
  </si>
  <si>
    <t>Mức 2</t>
  </si>
  <si>
    <t>Mức 3 cho HĐĐT; ảnh chụp giữ Mức 2</t>
  </si>
  <si>
    <t>Cổng đánh giá</t>
  </si>
  <si>
    <t>≥ 3.000 hoá đơn thật: 0 lỗi MST/tiền lọt qua cờ; tỷ lệ cờ ≤ 20%; bộ đề 40 ca ≥ 95%, kappa ≥ 0,6</t>
  </si>
  <si>
    <t>≥ 10.000 hoá đơn ở Mức 1: 0 lỗi MST/tiền; kế toán sửa &lt; 2%; bộ đề 100 ca ≥ 97%, 0 tầng tụt</t>
  </si>
  <si>
    <t>≥ 30.000 HĐĐT, ≥ 10 văn phòng: 0 lỗi MST/tiền; khiếu nại = 0</t>
  </si>
  <si>
    <t>Điều kiện cần: dữ liệu / hạ tầng / tuân thủ</t>
  </si>
  <si>
    <t>Tích hợp phần mềm kế toán + dịch vụ tra MST; thoả thuận bảo mật dữ liệu hoá đơn; nhật ký; báo văn phòng biết AI đọc hoá đơn; chị Hạnh 3 giờ/tuần + anh Tùng (1 vòng chấm 8,5 giờ ≈ 2 tuần)</t>
  </si>
  <si>
    <t>Bộ đề lên 100 ca; hàng chờ duyệt cờ; thu dữ liệu hạch toán có đồng ý của doanh nghiệp</t>
  </si>
  <si>
    <t>≥ 6 tháng dữ liệu hạch toán; bảng giám sát; rà mức rủi ro theo Luật AI 134/2025/QH15</t>
  </si>
  <si>
    <t>Căn cứ kinh tế (số liệu của đề và trang 2)</t>
  </si>
  <si>
    <t>Doanh thu 2.256 đ/việc; Mức 0 chi phí 1.704 đ/việc, biên 24,5%; Mức 1 chi phí 704 đ/việc, biên 68,8% (trang 2). Kịch bản xấu hết tiền tháng 7 → Mức 0 chỉ 1 tháng, lên Mức 1 trước tháng 2</t>
  </si>
  <si>
    <t>Mức 2 chi phí 579 đ/việc, biên 74,3%; chỉ mở rộng khi doanh thu bình quân ≥ 3,71 triệu</t>
  </si>
  <si>
    <t>Mức 3 biên 77,1%; chỉ làm nếu tầng Tiếp theo giữ biên ≥ 60% và qua điều kiện dừng</t>
  </si>
  <si>
    <t>Điều kiện dừng / đổi hướng</t>
  </si>
  <si>
    <t>NẾU doanh thu bình quân &lt; 3,71 triệu/văn phòng 2 tháng liên tiếp trên ≥ 10 văn phòng THÌ dừng mở rộng; 1 lỗi MST/tiền lọt vào sổ khách → lùi về Mức 0, không lên mức</t>
  </si>
  <si>
    <t>Có lỗi MST/tiền lọt hoặc tỷ lệ cờ &gt; 20% → lùi về Mức 1; &gt; 30% văn phòng nhỏ bỏ dùng → đổi gói giá</t>
  </si>
  <si>
    <t>Phần mềm kế toán ra tính năng đọc ảnh, gắn cờ miễn phí → bỏ việc bị nuốt, dồn lực vào đối chiếu và gợi ý hạch toán</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</si>
  <si>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</si>
  <si>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</si>
  <si>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</si>
  <si>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</si>
  <si>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</si>
  <si>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</si>
  <si>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</si>
  <si>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Lỗi MST/tiền lọt (phải = 0); tỷ lệ cờ và cờ thừa do chị Hạnh đếm; giờ nhập ảnh và HĐĐT; số văn phòng đã ký</t>
  </si>
  <si>
    <t>Đi tiếp / Sửa (chỉnh ngưỡng gắn cờ nếu cờ thừa &gt; 10%)</t>
  </si>
  <si>
    <t>Quản lý sản phẩm + chị Hạnh</t>
  </si>
  <si>
    <t>Ngày 60</t>
  </si>
  <si>
    <t>Cổng Mức 0 → 1: ≥ 3.000 hoá đơn, 0 lỗi MST/tiền, tỷ lệ cờ ≤ 20%; chi phí thực mỗi việc so với 704 đ</t>
  </si>
  <si>
    <t>Đi tiếp (lên Mức 1) / Sửa (giữ Mức 0)</t>
  </si>
  <si>
    <t>Quản lý sản phẩm + trưởng nhóm kỹ thuật + chị Hạnh</t>
  </si>
  <si>
    <t>Ngày 90</t>
  </si>
  <si>
    <t>Doanh thu bình quân so với 3,71 triệu trên ≥ 10 văn phòng; tỷ lệ doanh thu từ văn phòng dùng nhiều (đề: 65%); tỷ lệ hoá đơn phải xem</t>
  </si>
  <si>
    <t>Đi tiếp (mở rộng, chuẩn bị Mức 2) / Đổi hướng (gói giá cho văn phòng nhỏ) / Dừng mở rộng</t>
  </si>
  <si>
    <t>Ban lãnh đạo</t>
  </si>
  <si>
    <t>Có mô hình mới / giá gọi AI giảm mạnh</t>
  </si>
  <si>
    <t>Chạy lại bộ đề 40 ca (8,5 giờ chuyên gia); tính lại chi phí gọi AI so với 254 đ/việc; tầng Nguy hiểm không tụt</t>
  </si>
  <si>
    <t>Đổi mô hình chỉ khi qua đủ cổng phát hành; dùng phần tiết kiệm để lên mức sớm hơn hoặc hạ giá</t>
  </si>
  <si>
    <t>Quản lý sản phẩm + trưởng nhóm kỹ thuật</t>
  </si>
  <si>
    <t>Nền tảng hoặc đối thủ ra tính năng tương tự</t>
  </si>
  <si>
    <t>Việc nào bị 'nuốt' (đọc ảnh, nhập HĐĐT); văn phòng nào có ý định chuyển</t>
  </si>
  <si>
    <t>Bỏ việc bị nuốt, dồn lực vào đối chiếu MST và gắn cờ theo luật từng văn phòng</t>
  </si>
  <si>
    <t>Quy định pháp lý thay đổi</t>
  </si>
  <si>
    <t>Mức rủi ro của hệ thống theo Luật Trí tuệ nhân tạo 134/2025/QH15; quy định về hoá đơn điện tử</t>
  </si>
  <si>
    <t>Thêm biện pháp kiểm soát và bằng chứng; cập nhật luật đối chiếu và gắn cờ</t>
  </si>
  <si>
    <t>Quản lý sản phẩm + pháp chế + chị Hạnh</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</si>
  <si>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</si>
  <si>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</si>
  <si>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</si>
  <si>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</si>
  <si>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</si>
  <si>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</si>
  <si>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Thử nghiệm 3 tháng với 10 văn phòng: tra mã số thuế và gắn cờ để kế toán chỉ xem 20% hoá đơn, 0 lỗi thuế/tiền; quyết định mở rộng ở ngày 90.</t>
  </si>
  <si>
    <t>3 việc chính</t>
  </si>
  <si>
    <t>Bây giờ: tra mã số thuế, gắn cờ, kiểm chứng doanh thu trên 10 văn phòng · Tiếp theo: duyệt 10%, nhập hoá đơn điện tử qua phần mềm sẵn có · Sau này: tự nhập hoá đơn điện tử, gợi ý hạch toán</t>
  </si>
  <si>
    <t>Cần gì (người, tiền, dữ liệu)</t>
  </si>
  <si>
    <t>Chị Hạnh 3 giờ/tuần + anh Tùng chấm bộ đề (8,5 giờ/vòng); 1 kế toán viên duyệt; mua dịch vụ tra mã số thuế; 10 văn phòng thử nghiệm</t>
  </si>
  <si>
    <t>Rủi ro lớn nhất &amp; cách xử lý</t>
  </si>
  <si>
    <t>65% doanh thu từ 30% văn phòng → kiểm chứng trên 10 văn phòng nhiều quy mô, dừng mở rộng nếu dưới 3,71 triệu 2 tháng; lỗi thuế/tiền lọt → lùi về duyệt 100%</t>
  </si>
  <si>
    <t>Khi nào xem lại</t>
  </si>
  <si>
    <t>Ngày 30/60/90; ngay khi có 1 lỗi mã số thuế/tiền, có mô hình mới hoặc phần mềm kế toán ra tính năng tương tự</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</si>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</sst>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name val="Cambria"/>
      <charset val="1"/>
    </font>
    <font>
      <i/>
      <sz val="11"/>
      <color rgb="FF595959"/>
      <name val="Cambria"/>
      <charset val="1"/>
    </font>
    <font>
      <b/>
      <sz val="11"/>
      <color rgb="FFFFFFFF"/>
      <name val="Cambria"/>
      <charset val="1"/>
    </font>
    <font>
      <b/>
      <sz val="11"/>
      <name val="Cambria"/>
      <charset val="1"/>
    </font>
    <font>
      <sz val="11"/>
      <name val="Calibri"/>
      <charset val="1"/>
    </font>
    <font>
      <i/>
      <sz val="10"/>
      <color rgb="FF595959"/>
      <name val="Calibri"/>
      <charset val="1"/>
    </font>
    <font>
      <b/>
      <sz val="12"/>
      <name val="Cambria"/>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3"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4" fillId="0" borderId="0" xfId="0" applyFont="1"/>
    <xf numFmtId="0" fontId="3" fillId="4" borderId="0" xfId="0" applyFont="1" applyFill="1" applyAlignment="1">
      <alignment vertical="center" wrapText="1"/>
    </xf>
    <xf numFmtId="0" fontId="0" fillId="0" borderId="1" xfId="0" applyBorder="1"/>
    <xf numFmtId="0" fontId="0" fillId="3" borderId="1" xfId="0" applyFill="1" applyBorder="1" applyAlignment="1">
      <alignment vertical="top" wrapText="1"/>
    </xf>
    <xf numFmtId="0" fontId="0" fillId="3" borderId="1" xfId="0" applyFill="1" applyBorder="1" applyAlignment="1">
      <alignment horizontal="center"/>
    </xf>
    <xf numFmtId="0" fontId="5" fillId="2" borderId="0" xfId="0" applyFont="1" applyFill="1" applyProtection="1">
      <protection locked="0"/>
    </xf>
    <xf numFmtId="9" fontId="5" fillId="2" borderId="0" xfId="0" applyNumberFormat="1" applyFont="1" applyFill="1" applyProtection="1">
      <protection locked="0"/>
    </xf>
    <xf numFmtId="38" fontId="5" fillId="3" borderId="0" xfId="0" applyNumberFormat="1" applyFont="1" applyFill="1"/>
    <xf numFmtId="9" fontId="5" fillId="3" borderId="0" xfId="0" applyNumberFormat="1" applyFont="1" applyFill="1"/>
    <xf numFmtId="0" fontId="5" fillId="3" borderId="0" xfId="0" applyFont="1" applyFill="1"/>
    <xf numFmtId="0" fontId="5" fillId="0" borderId="0" xfId="0" applyFont="1"/>
    <xf numFmtId="38" fontId="5" fillId="2" borderId="0" xfId="0" applyNumberFormat="1" applyFont="1" applyFill="1" applyProtection="1">
      <protection locked="0"/>
    </xf>
    <xf numFmtId="0" fontId="6" fillId="0" borderId="0" xfId="0" applyFont="1"/>
    <xf numFmtId="164" fontId="5" fillId="2" borderId="0" xfId="0" applyNumberFormat="1" applyFont="1" applyFill="1" applyProtection="1">
      <protection locked="0"/>
    </xf>
    <xf numFmtId="1" fontId="5" fillId="2" borderId="0" xfId="0" applyNumberFormat="1" applyFont="1" applyFill="1" applyProtection="1">
      <protection locked="0"/>
    </xf>
    <xf numFmtId="0" fontId="4" fillId="0" borderId="1" xfId="0" applyFont="1" applyBorder="1" applyAlignment="1">
      <alignment vertical="top" wrapText="1"/>
    </xf>
    <xf numFmtId="0" fontId="4" fillId="0" borderId="1" xfId="0" applyFont="1" applyBorder="1"/>
    <xf numFmtId="1" fontId="5" fillId="3" borderId="0" xfId="0" applyNumberFormat="1" applyFont="1" applyFill="1"/>
    <xf numFmtId="0" fontId="0" fillId="0" borderId="0" xfId="0" applyAlignment="1">
      <alignment vertical="top" wrapText="1"/>
    </xf>
    <xf numFmtId="0" fontId="0" fillId="2" borderId="0" xfId="0" applyFill="1" applyProtection="1">
      <protection locked="0"/>
    </xf>
    <xf numFmtId="0" fontId="7" fillId="0" borderId="0" xfId="0" applyFont="1"/>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zoomScaleNormal="100" workbookViewId="0"/>
  </sheetViews>
  <sheetFormatPr defaultColWidth="8.6640625" defaultRowHeight="14.4" x14ac:dyDescent="0.3"/>
  <cols>
    <col min="1" max="1" width="120" customWidth="1"/>
  </cols>
  <sheetData>
    <row r="1" spans="1:1" ht="17.25" customHeight="1" x14ac:dyDescent="0.3">
      <c r="A1" s="1" t="s">
        <v>0</v>
      </c>
    </row>
    <row r="2" spans="1:1" ht="15" customHeight="1" x14ac:dyDescent="0.3">
      <c r="A2" s="2" t="s">
        <v>1</v>
      </c>
    </row>
    <row r="4" spans="1:1" ht="15" customHeight="1" x14ac:dyDescent="0.3">
      <c r="A4" t="s">
        <v>2</v>
      </c>
    </row>
    <row r="5" spans="1:1" ht="15" customHeight="1" x14ac:dyDescent="0.3">
      <c r="A5" t="s">
        <v>3</v>
      </c>
    </row>
    <row r="6" spans="1:1" ht="15" customHeight="1" x14ac:dyDescent="0.3">
      <c r="A6" t="s">
        <v>4</v>
      </c>
    </row>
    <row r="7" spans="1:1" ht="15" customHeight="1" x14ac:dyDescent="0.3">
      <c r="A7" t="s">
        <v>5</v>
      </c>
    </row>
    <row r="8" spans="1:1" ht="15" customHeight="1" x14ac:dyDescent="0.3">
      <c r="A8" t="s">
        <v>6</v>
      </c>
    </row>
    <row r="9" spans="1:1" ht="15" customHeight="1" x14ac:dyDescent="0.3">
      <c r="A9" t="s">
        <v>7</v>
      </c>
    </row>
    <row r="11" spans="1:1" ht="15" customHeight="1" x14ac:dyDescent="0.3">
      <c r="A11" t="s">
        <v>8</v>
      </c>
    </row>
    <row r="12" spans="1:1" ht="15" customHeight="1" x14ac:dyDescent="0.3">
      <c r="A12" s="3" t="s">
        <v>9</v>
      </c>
    </row>
    <row r="13" spans="1:1" ht="15" customHeight="1" x14ac:dyDescent="0.3">
      <c r="A13" s="4" t="s">
        <v>10</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6640625" defaultRowHeight="14.4" x14ac:dyDescent="0.3"/>
  <cols>
    <col min="1" max="1" width="52" customWidth="1"/>
    <col min="2" max="2" width="14" customWidth="1"/>
    <col min="3" max="4" width="46" customWidth="1"/>
    <col min="5" max="5" width="36" customWidth="1"/>
  </cols>
  <sheetData>
    <row r="1" spans="1:5" ht="17.25" customHeight="1" x14ac:dyDescent="0.3">
      <c r="A1" s="1" t="s">
        <v>11</v>
      </c>
    </row>
    <row r="2" spans="1:5" ht="15" customHeight="1" x14ac:dyDescent="0.3">
      <c r="A2" s="2" t="s">
        <v>12</v>
      </c>
    </row>
    <row r="4" spans="1:5" ht="26.25" customHeight="1" x14ac:dyDescent="0.3">
      <c r="A4" s="5" t="s">
        <v>13</v>
      </c>
      <c r="B4" s="5" t="s">
        <v>14</v>
      </c>
      <c r="C4" s="5" t="s">
        <v>15</v>
      </c>
      <c r="D4" s="5" t="s">
        <v>16</v>
      </c>
      <c r="E4" s="5" t="s">
        <v>17</v>
      </c>
    </row>
    <row r="5" spans="1:5" ht="33.75" customHeight="1" x14ac:dyDescent="0.3">
      <c r="A5" s="6" t="s">
        <v>18</v>
      </c>
      <c r="B5" s="7" t="s">
        <v>19</v>
      </c>
      <c r="C5" s="6" t="s">
        <v>20</v>
      </c>
      <c r="D5" s="6" t="s">
        <v>21</v>
      </c>
      <c r="E5" s="7" t="s">
        <v>22</v>
      </c>
    </row>
    <row r="6" spans="1:5" ht="33.75" customHeight="1" x14ac:dyDescent="0.3">
      <c r="A6" s="6" t="s">
        <v>23</v>
      </c>
      <c r="B6" s="7" t="s">
        <v>19</v>
      </c>
      <c r="C6" s="6" t="s">
        <v>24</v>
      </c>
      <c r="D6" s="6" t="s">
        <v>25</v>
      </c>
      <c r="E6" s="7" t="s">
        <v>26</v>
      </c>
    </row>
    <row r="7" spans="1:5" ht="33.75" customHeight="1" x14ac:dyDescent="0.3">
      <c r="A7" s="6" t="s">
        <v>27</v>
      </c>
      <c r="B7" s="7" t="s">
        <v>19</v>
      </c>
      <c r="C7" s="6" t="s">
        <v>28</v>
      </c>
      <c r="D7" s="6" t="s">
        <v>29</v>
      </c>
      <c r="E7" s="7" t="s">
        <v>30</v>
      </c>
    </row>
    <row r="8" spans="1:5" ht="33.75" customHeight="1" x14ac:dyDescent="0.3">
      <c r="A8" s="6" t="s">
        <v>31</v>
      </c>
      <c r="B8" s="7" t="s">
        <v>19</v>
      </c>
      <c r="C8" s="6" t="s">
        <v>32</v>
      </c>
      <c r="D8" s="6" t="s">
        <v>33</v>
      </c>
      <c r="E8" s="7" t="s">
        <v>34</v>
      </c>
    </row>
    <row r="9" spans="1:5" ht="33.75" customHeight="1" x14ac:dyDescent="0.3">
      <c r="A9" s="6" t="s">
        <v>35</v>
      </c>
      <c r="B9" s="7" t="s">
        <v>19</v>
      </c>
      <c r="C9" s="6" t="s">
        <v>36</v>
      </c>
      <c r="D9" s="6" t="s">
        <v>37</v>
      </c>
      <c r="E9" s="7" t="s">
        <v>38</v>
      </c>
    </row>
    <row r="10" spans="1:5" ht="33.75" customHeight="1" x14ac:dyDescent="0.3">
      <c r="A10" s="6" t="s">
        <v>39</v>
      </c>
      <c r="B10" s="7" t="s">
        <v>19</v>
      </c>
      <c r="C10" s="6" t="s">
        <v>40</v>
      </c>
      <c r="D10" s="6" t="s">
        <v>41</v>
      </c>
      <c r="E10" s="7" t="s">
        <v>42</v>
      </c>
    </row>
    <row r="12" spans="1:5" ht="15" customHeight="1" x14ac:dyDescent="0.3">
      <c r="A12" s="8" t="s">
        <v>43</v>
      </c>
      <c r="B12" s="4">
        <f>COUNTIF(B5:B10,"Có")</f>
        <v>6</v>
      </c>
    </row>
    <row r="13" spans="1:5" ht="15" customHeight="1" x14ac:dyDescent="0.3">
      <c r="A13" s="2"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zoomScaleNormal="100" workbookViewId="0"/>
  </sheetViews>
  <sheetFormatPr defaultColWidth="8.6640625" defaultRowHeight="14.4" x14ac:dyDescent="0.3"/>
  <cols>
    <col min="1" max="1" width="4" customWidth="1"/>
    <col min="2" max="2" width="30" customWidth="1"/>
    <col min="3" max="3" width="28" customWidth="1"/>
    <col min="4" max="4" width="38" customWidth="1"/>
    <col min="5" max="5" width="32" customWidth="1"/>
    <col min="6" max="7" width="8" customWidth="1"/>
    <col min="8" max="8" width="11" customWidth="1"/>
    <col min="9" max="9" width="8" customWidth="1"/>
    <col min="10" max="10" width="11" customWidth="1"/>
    <col min="11" max="11" width="10" customWidth="1"/>
    <col min="12" max="12" width="13" customWidth="1"/>
    <col min="13" max="14" width="10" customWidth="1"/>
    <col min="15" max="15" width="12" customWidth="1"/>
    <col min="16" max="16" width="14" customWidth="1"/>
    <col min="17" max="17" width="58" customWidth="1"/>
  </cols>
  <sheetData>
    <row r="1" spans="1:17" ht="17.25" customHeight="1" x14ac:dyDescent="0.3">
      <c r="A1" s="1" t="s">
        <v>45</v>
      </c>
    </row>
    <row r="2" spans="1:17" ht="15" customHeight="1" x14ac:dyDescent="0.3">
      <c r="A2" s="2" t="s">
        <v>46</v>
      </c>
    </row>
    <row r="4" spans="1:17" ht="39" customHeight="1" x14ac:dyDescent="0.3">
      <c r="A4" s="9" t="s">
        <v>47</v>
      </c>
      <c r="B4" s="9" t="s">
        <v>48</v>
      </c>
      <c r="C4" s="9" t="s">
        <v>49</v>
      </c>
      <c r="D4" s="9" t="s">
        <v>50</v>
      </c>
      <c r="E4" s="9" t="s">
        <v>51</v>
      </c>
      <c r="F4" s="9" t="s">
        <v>52</v>
      </c>
      <c r="G4" s="9" t="s">
        <v>53</v>
      </c>
      <c r="H4" s="9" t="s">
        <v>54</v>
      </c>
      <c r="I4" s="9" t="s">
        <v>55</v>
      </c>
      <c r="J4" s="9" t="s">
        <v>56</v>
      </c>
      <c r="K4" s="9" t="s">
        <v>57</v>
      </c>
      <c r="L4" s="9" t="s">
        <v>58</v>
      </c>
      <c r="M4" s="9" t="s">
        <v>59</v>
      </c>
      <c r="N4" s="9" t="s">
        <v>60</v>
      </c>
      <c r="O4" s="9" t="s">
        <v>61</v>
      </c>
      <c r="P4" s="9" t="s">
        <v>62</v>
      </c>
      <c r="Q4" s="9" t="s">
        <v>63</v>
      </c>
    </row>
    <row r="5" spans="1:17" ht="34.5" customHeight="1" x14ac:dyDescent="0.3">
      <c r="A5" s="10">
        <v>1</v>
      </c>
      <c r="B5" s="7" t="s">
        <v>64</v>
      </c>
      <c r="C5" s="7" t="s">
        <v>65</v>
      </c>
      <c r="D5" s="7" t="s">
        <v>66</v>
      </c>
      <c r="E5" s="7" t="s">
        <v>67</v>
      </c>
      <c r="F5" s="7">
        <v>3</v>
      </c>
      <c r="G5" s="7">
        <v>4</v>
      </c>
      <c r="H5" s="7">
        <v>0.8</v>
      </c>
      <c r="I5" s="7">
        <v>3</v>
      </c>
      <c r="J5" s="7">
        <v>0.8</v>
      </c>
      <c r="K5" s="7">
        <v>0.8</v>
      </c>
      <c r="L5" s="7">
        <v>0.3</v>
      </c>
      <c r="M5" s="11">
        <f t="shared" ref="M5:M14" si="0">IF(COUNT(F5:L5)&lt;7,"",ROUND(F5*G5*H5/I5*(0.5+0.5*AVERAGE(J5:K5))*(1-0.5*L5),2))</f>
        <v>2.4500000000000002</v>
      </c>
      <c r="N5" s="11">
        <f t="shared" ref="N5:N14" si="1">IF(M5="","",RANK(M5,$M$5:$M$14))</f>
        <v>5</v>
      </c>
      <c r="O5" s="12" t="str">
        <f>IF(B5="","",IF(OR(D5="",E5=""),"Thiếu",IF(SUMPRODUCT(--ISNUMBER(SEARCH({"0","1","2","3","4","5","6","7","8","9"},E5)))&gt;0,"Có","Thiếu")))</f>
        <v>Có</v>
      </c>
      <c r="P5" s="13" t="s">
        <v>68</v>
      </c>
      <c r="Q5" s="13" t="s">
        <v>69</v>
      </c>
    </row>
    <row r="6" spans="1:17" ht="23.25" customHeight="1" x14ac:dyDescent="0.3">
      <c r="A6" s="10">
        <v>2</v>
      </c>
      <c r="B6" s="7" t="s">
        <v>70</v>
      </c>
      <c r="C6" s="7" t="s">
        <v>71</v>
      </c>
      <c r="D6" s="7" t="s">
        <v>72</v>
      </c>
      <c r="E6" s="7" t="s">
        <v>73</v>
      </c>
      <c r="F6" s="7">
        <v>5</v>
      </c>
      <c r="G6" s="7">
        <v>5</v>
      </c>
      <c r="H6" s="7">
        <v>0.8</v>
      </c>
      <c r="I6" s="7">
        <v>2</v>
      </c>
      <c r="J6" s="7">
        <v>0.7</v>
      </c>
      <c r="K6" s="7">
        <v>0.8</v>
      </c>
      <c r="L6" s="7">
        <v>0.2</v>
      </c>
      <c r="M6" s="11">
        <f t="shared" si="0"/>
        <v>7.88</v>
      </c>
      <c r="N6" s="11">
        <f t="shared" si="1"/>
        <v>2</v>
      </c>
      <c r="O6" s="12" t="str">
        <f>IF(B6="","",IF(OR(D6="",E6=""),"Thiếu",IF(SUMPRODUCT(--ISNUMBER(SEARCH({"0","1","2","3","4","5","6","7","8","9"},E6)))&gt;0,"Có","Thiếu")))</f>
        <v>Có</v>
      </c>
      <c r="P6" s="13" t="s">
        <v>68</v>
      </c>
      <c r="Q6" s="13" t="s">
        <v>74</v>
      </c>
    </row>
    <row r="7" spans="1:17" ht="23.25" customHeight="1" x14ac:dyDescent="0.3">
      <c r="A7" s="10">
        <v>3</v>
      </c>
      <c r="B7" s="7" t="s">
        <v>75</v>
      </c>
      <c r="C7" s="7" t="s">
        <v>76</v>
      </c>
      <c r="D7" s="7" t="s">
        <v>77</v>
      </c>
      <c r="E7" s="7" t="s">
        <v>78</v>
      </c>
      <c r="F7" s="7">
        <v>5</v>
      </c>
      <c r="G7" s="7">
        <v>3</v>
      </c>
      <c r="H7" s="7">
        <v>1</v>
      </c>
      <c r="I7" s="7">
        <v>1</v>
      </c>
      <c r="J7" s="7">
        <v>1</v>
      </c>
      <c r="K7" s="7">
        <v>0.6</v>
      </c>
      <c r="L7" s="7">
        <v>0.9</v>
      </c>
      <c r="M7" s="11">
        <f t="shared" si="0"/>
        <v>7.43</v>
      </c>
      <c r="N7" s="11">
        <f t="shared" si="1"/>
        <v>3</v>
      </c>
      <c r="O7" s="12" t="str">
        <f>IF(B7="","",IF(OR(D7="",E7=""),"Thiếu",IF(SUMPRODUCT(--ISNUMBER(SEARCH({"0","1","2","3","4","5","6","7","8","9"},E7)))&gt;0,"Có","Thiếu")))</f>
        <v>Có</v>
      </c>
      <c r="P7" s="13" t="s">
        <v>79</v>
      </c>
      <c r="Q7" s="13" t="s">
        <v>80</v>
      </c>
    </row>
    <row r="8" spans="1:17" ht="23.25" customHeight="1" x14ac:dyDescent="0.3">
      <c r="A8" s="10">
        <v>4</v>
      </c>
      <c r="B8" s="7" t="s">
        <v>81</v>
      </c>
      <c r="C8" s="7" t="s">
        <v>82</v>
      </c>
      <c r="D8" s="7" t="s">
        <v>83</v>
      </c>
      <c r="E8" s="7" t="s">
        <v>84</v>
      </c>
      <c r="F8" s="7">
        <v>5</v>
      </c>
      <c r="G8" s="7">
        <v>5</v>
      </c>
      <c r="H8" s="7">
        <v>1</v>
      </c>
      <c r="I8" s="7">
        <v>1</v>
      </c>
      <c r="J8" s="7">
        <v>0.9</v>
      </c>
      <c r="K8" s="7">
        <v>0.7</v>
      </c>
      <c r="L8" s="7">
        <v>0.5</v>
      </c>
      <c r="M8" s="11">
        <f t="shared" si="0"/>
        <v>16.88</v>
      </c>
      <c r="N8" s="11">
        <f t="shared" si="1"/>
        <v>1</v>
      </c>
      <c r="O8" s="12" t="str">
        <f>IF(B8="","",IF(OR(D8="",E8=""),"Thiếu",IF(SUMPRODUCT(--ISNUMBER(SEARCH({"0","1","2","3","4","5","6","7","8","9"},E8)))&gt;0,"Có","Thiếu")))</f>
        <v>Có</v>
      </c>
      <c r="P8" s="13" t="s">
        <v>79</v>
      </c>
      <c r="Q8" s="13" t="s">
        <v>85</v>
      </c>
    </row>
    <row r="9" spans="1:17" ht="23.25" customHeight="1" x14ac:dyDescent="0.3">
      <c r="A9" s="10">
        <v>5</v>
      </c>
      <c r="B9" s="7" t="s">
        <v>86</v>
      </c>
      <c r="C9" s="7" t="s">
        <v>87</v>
      </c>
      <c r="D9" s="7" t="s">
        <v>88</v>
      </c>
      <c r="E9" s="7" t="s">
        <v>89</v>
      </c>
      <c r="F9" s="7">
        <v>5</v>
      </c>
      <c r="G9" s="7">
        <v>4</v>
      </c>
      <c r="H9" s="7">
        <v>0.5</v>
      </c>
      <c r="I9" s="7">
        <v>4</v>
      </c>
      <c r="J9" s="7">
        <v>0.1</v>
      </c>
      <c r="K9" s="7">
        <v>0.2</v>
      </c>
      <c r="L9" s="7">
        <v>0.4</v>
      </c>
      <c r="M9" s="11">
        <f t="shared" si="0"/>
        <v>1.1499999999999999</v>
      </c>
      <c r="N9" s="11">
        <f t="shared" si="1"/>
        <v>6</v>
      </c>
      <c r="O9" s="12" t="str">
        <f>IF(B9="","",IF(OR(D9="",E9=""),"Thiếu",IF(SUMPRODUCT(--ISNUMBER(SEARCH({"0","1","2","3","4","5","6","7","8","9"},E9)))&gt;0,"Có","Thiếu")))</f>
        <v>Có</v>
      </c>
      <c r="P9" s="13" t="s">
        <v>90</v>
      </c>
      <c r="Q9" s="13" t="s">
        <v>91</v>
      </c>
    </row>
    <row r="10" spans="1:17" ht="23.25" customHeight="1" x14ac:dyDescent="0.3">
      <c r="A10" s="10">
        <v>6</v>
      </c>
      <c r="B10" s="7" t="s">
        <v>92</v>
      </c>
      <c r="C10" s="7" t="s">
        <v>93</v>
      </c>
      <c r="D10" s="7" t="s">
        <v>94</v>
      </c>
      <c r="E10" s="7" t="s">
        <v>95</v>
      </c>
      <c r="F10" s="7">
        <v>2</v>
      </c>
      <c r="G10" s="7">
        <v>2</v>
      </c>
      <c r="H10" s="7">
        <v>0.5</v>
      </c>
      <c r="I10" s="7">
        <v>3</v>
      </c>
      <c r="J10" s="7">
        <v>0.3</v>
      </c>
      <c r="K10" s="7">
        <v>0.1</v>
      </c>
      <c r="L10" s="7">
        <v>0.9</v>
      </c>
      <c r="M10" s="11">
        <f t="shared" si="0"/>
        <v>0.22</v>
      </c>
      <c r="N10" s="11">
        <f t="shared" si="1"/>
        <v>7</v>
      </c>
      <c r="O10" s="12" t="str">
        <f>IF(B10="","",IF(OR(D10="",E10=""),"Thiếu",IF(SUMPRODUCT(--ISNUMBER(SEARCH({"0","1","2","3","4","5","6","7","8","9"},E10)))&gt;0,"Có","Thiếu")))</f>
        <v>Có</v>
      </c>
      <c r="P10" s="13" t="s">
        <v>96</v>
      </c>
      <c r="Q10" s="13" t="s">
        <v>97</v>
      </c>
    </row>
    <row r="11" spans="1:17" ht="15" customHeight="1" x14ac:dyDescent="0.3">
      <c r="A11" s="10">
        <v>7</v>
      </c>
      <c r="B11" s="7" t="s">
        <v>98</v>
      </c>
      <c r="C11" s="7" t="s">
        <v>99</v>
      </c>
      <c r="D11" s="7" t="s">
        <v>100</v>
      </c>
      <c r="E11" s="7" t="s">
        <v>101</v>
      </c>
      <c r="F11" s="7">
        <v>3</v>
      </c>
      <c r="G11" s="7">
        <v>5</v>
      </c>
      <c r="H11" s="7">
        <v>0.5</v>
      </c>
      <c r="I11" s="7">
        <v>1</v>
      </c>
      <c r="J11" s="7">
        <v>0.8</v>
      </c>
      <c r="K11" s="7">
        <v>0.7</v>
      </c>
      <c r="L11" s="7">
        <v>0.1</v>
      </c>
      <c r="M11" s="11">
        <f t="shared" si="0"/>
        <v>6.23</v>
      </c>
      <c r="N11" s="11">
        <f t="shared" si="1"/>
        <v>4</v>
      </c>
      <c r="O11" s="12" t="str">
        <f>IF(B11="","",IF(OR(D11="",E11=""),"Thiếu",IF(SUMPRODUCT(--ISNUMBER(SEARCH({"0","1","2","3","4","5","6","7","8","9"},E11)))&gt;0,"Có","Thiếu")))</f>
        <v>Có</v>
      </c>
      <c r="P11" s="13" t="s">
        <v>68</v>
      </c>
      <c r="Q11" s="13" t="s">
        <v>102</v>
      </c>
    </row>
    <row r="12" spans="1:17" ht="15" customHeight="1" x14ac:dyDescent="0.3">
      <c r="A12" s="10">
        <v>8</v>
      </c>
      <c r="B12" s="7"/>
      <c r="C12" s="7"/>
      <c r="D12" s="7"/>
      <c r="E12" s="7"/>
      <c r="F12" s="7"/>
      <c r="G12" s="7"/>
      <c r="H12" s="7"/>
      <c r="I12" s="7"/>
      <c r="J12" s="7"/>
      <c r="K12" s="7"/>
      <c r="L12" s="7"/>
      <c r="M12" s="11" t="str">
        <f t="shared" si="0"/>
        <v/>
      </c>
      <c r="N12" s="11" t="str">
        <f t="shared" si="1"/>
        <v/>
      </c>
      <c r="O12" s="12" t="str">
        <f>IF(B12="","",IF(OR(D12="",E12=""),"Thiếu",IF(SUMPRODUCT(--ISNUMBER(SEARCH({"0","1","2","3","4","5","6","7","8","9"},E12)))&gt;0,"Có","Thiếu")))</f>
        <v/>
      </c>
      <c r="P12" s="13"/>
      <c r="Q12" s="13"/>
    </row>
    <row r="13" spans="1:17" ht="15" customHeight="1" x14ac:dyDescent="0.3">
      <c r="A13" s="10">
        <v>9</v>
      </c>
      <c r="B13" s="7"/>
      <c r="C13" s="7"/>
      <c r="D13" s="7"/>
      <c r="E13" s="7"/>
      <c r="F13" s="7"/>
      <c r="G13" s="7"/>
      <c r="H13" s="7"/>
      <c r="I13" s="7"/>
      <c r="J13" s="7"/>
      <c r="K13" s="7"/>
      <c r="L13" s="7"/>
      <c r="M13" s="11" t="str">
        <f t="shared" si="0"/>
        <v/>
      </c>
      <c r="N13" s="11" t="str">
        <f t="shared" si="1"/>
        <v/>
      </c>
      <c r="O13" s="12" t="str">
        <f>IF(B13="","",IF(OR(D13="",E13=""),"Thiếu",IF(SUMPRODUCT(--ISNUMBER(SEARCH({"0","1","2","3","4","5","6","7","8","9"},E13)))&gt;0,"Có","Thiếu")))</f>
        <v/>
      </c>
      <c r="P13" s="13"/>
      <c r="Q13" s="13"/>
    </row>
    <row r="14" spans="1:17" ht="15" customHeight="1" x14ac:dyDescent="0.3">
      <c r="A14" s="10">
        <v>10</v>
      </c>
      <c r="B14" s="7"/>
      <c r="C14" s="7"/>
      <c r="D14" s="7"/>
      <c r="E14" s="7"/>
      <c r="F14" s="7"/>
      <c r="G14" s="7"/>
      <c r="H14" s="7"/>
      <c r="I14" s="7"/>
      <c r="J14" s="7"/>
      <c r="K14" s="7"/>
      <c r="L14" s="7"/>
      <c r="M14" s="11" t="str">
        <f t="shared" si="0"/>
        <v/>
      </c>
      <c r="N14" s="11" t="str">
        <f t="shared" si="1"/>
        <v/>
      </c>
      <c r="O14" s="12" t="str">
        <f>IF(B14="","",IF(OR(D14="",E14=""),"Thiếu",IF(SUMPRODUCT(--ISNUMBER(SEARCH({"0","1","2","3","4","5","6","7","8","9"},E14)))&gt;0,"Có","Thiếu")))</f>
        <v/>
      </c>
      <c r="P14" s="13"/>
      <c r="Q14" s="13"/>
    </row>
  </sheetData>
  <sheetProtection sheet="1" formatColumns="0" formatRows="0"/>
  <dataValidations count="4">
    <dataValidation type="whole" allowBlank="1" showErrorMessage="1" errorTitle="Ngoài thang điểm" error="Nhập số nguyên từ 1 đến 5." sqref="F5:G14 I5:I14" xr:uid="{00000000-0002-0000-0200-000000000000}">
      <formula1>1</formula1>
      <formula2>5</formula2>
    </dataValidation>
    <dataValidation type="decimal" allowBlank="1" showErrorMessage="1" errorTitle="Mức tự tin" error="Dùng 0,5 (đoán), 0,8 (có dấu hiệu) hoặc 1 (có số liệu)." sqref="H5:H14" xr:uid="{00000000-0002-0000-0200-000001000000}">
      <formula1>0.5</formula1>
      <formula2>1</formula2>
    </dataValidation>
    <dataValidation type="decimal" allowBlank="1" showErrorMessage="1" errorTitle="Ngoài thang 0–1" error="Nhập số từ 0 đến 1, ví dụ 0,6." sqref="J5:L14" xr:uid="{00000000-0002-0000-0200-000002000000}">
      <formula1>0</formula1>
      <formula2>1</formula2>
    </dataValidation>
    <dataValidation type="list" allowBlank="1" sqref="P5:P14" xr:uid="{00000000-0002-0000-0200-000003000000}">
      <formula1>"Tự làm,Mua,Chờ,Không làm"</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zoomScaleNormal="100" workbookViewId="0"/>
  </sheetViews>
  <sheetFormatPr defaultColWidth="8.6640625" defaultRowHeight="14.4" x14ac:dyDescent="0.3"/>
  <cols>
    <col min="1" max="1" width="6" customWidth="1"/>
    <col min="2" max="2" width="20" customWidth="1"/>
    <col min="3" max="3" width="34" customWidth="1"/>
    <col min="4" max="4" width="30" customWidth="1"/>
    <col min="5" max="5" width="44" customWidth="1"/>
    <col min="6" max="6" width="36" customWidth="1"/>
    <col min="7" max="8" width="12" customWidth="1"/>
    <col min="9" max="9" width="18" customWidth="1"/>
    <col min="10" max="10" width="14" customWidth="1"/>
    <col min="11" max="11" width="12" customWidth="1"/>
    <col min="12" max="12" width="13" customWidth="1"/>
    <col min="13" max="13" width="11" customWidth="1"/>
  </cols>
  <sheetData>
    <row r="1" spans="1:13" ht="17.25" customHeight="1" x14ac:dyDescent="0.3">
      <c r="A1" s="1" t="s">
        <v>103</v>
      </c>
    </row>
    <row r="2" spans="1:13" ht="15" customHeight="1" x14ac:dyDescent="0.3">
      <c r="A2" s="2" t="s">
        <v>104</v>
      </c>
    </row>
    <row r="4" spans="1:13" ht="26.25" customHeight="1" x14ac:dyDescent="0.3">
      <c r="A4" s="9" t="s">
        <v>105</v>
      </c>
      <c r="B4" s="9" t="s">
        <v>106</v>
      </c>
      <c r="C4" s="9" t="s">
        <v>107</v>
      </c>
      <c r="D4" s="9" t="s">
        <v>108</v>
      </c>
      <c r="E4" s="9" t="s">
        <v>109</v>
      </c>
      <c r="F4" s="9" t="s">
        <v>110</v>
      </c>
      <c r="G4" s="9" t="s">
        <v>111</v>
      </c>
      <c r="H4" s="9" t="s">
        <v>112</v>
      </c>
      <c r="I4" s="9" t="s">
        <v>113</v>
      </c>
      <c r="J4" s="9" t="s">
        <v>114</v>
      </c>
      <c r="K4" s="9" t="s">
        <v>115</v>
      </c>
      <c r="L4" s="9" t="s">
        <v>116</v>
      </c>
      <c r="M4" s="9" t="s">
        <v>117</v>
      </c>
    </row>
    <row r="5" spans="1:13" ht="48" customHeight="1" x14ac:dyDescent="0.3">
      <c r="A5" s="10">
        <v>0</v>
      </c>
      <c r="B5" s="7" t="s">
        <v>118</v>
      </c>
      <c r="C5" s="7" t="s">
        <v>119</v>
      </c>
      <c r="D5" s="7" t="s">
        <v>120</v>
      </c>
      <c r="E5" s="7" t="s">
        <v>121</v>
      </c>
      <c r="F5" s="7" t="s">
        <v>122</v>
      </c>
      <c r="G5" s="7" t="s">
        <v>123</v>
      </c>
      <c r="H5" s="14">
        <v>1</v>
      </c>
      <c r="I5" s="13" t="s">
        <v>124</v>
      </c>
      <c r="J5" s="15">
        <f>IF(H5="","",$B$12+$B$13+IF(I5="Người của mình",H5*$B$14*$B$15/60,0))</f>
        <v>1704</v>
      </c>
      <c r="K5" s="16">
        <f>IF(J5="","",IFERROR(($B$16-$B$17*J5)/$B$16,""))</f>
        <v>0.24457430730478588</v>
      </c>
      <c r="L5" s="17" t="str">
        <f>IF(K5="","",IF(K5&gt;=0.6,"Đạt","Dưới ngưỡng"))</f>
        <v>Dưới ngưỡng</v>
      </c>
    </row>
    <row r="6" spans="1:13" ht="48" customHeight="1" x14ac:dyDescent="0.3">
      <c r="A6" s="10">
        <v>1</v>
      </c>
      <c r="B6" s="7" t="s">
        <v>125</v>
      </c>
      <c r="C6" s="7" t="s">
        <v>126</v>
      </c>
      <c r="D6" s="7" t="s">
        <v>127</v>
      </c>
      <c r="E6" s="7" t="s">
        <v>128</v>
      </c>
      <c r="F6" s="7" t="s">
        <v>129</v>
      </c>
      <c r="G6" s="7" t="s">
        <v>130</v>
      </c>
      <c r="H6" s="14">
        <v>0.2</v>
      </c>
      <c r="I6" s="13" t="s">
        <v>124</v>
      </c>
      <c r="J6" s="15">
        <f>IF(H6="","",$B$12+$B$13+IF(I6="Người của mình",H6*$B$14*$B$15/60,0))</f>
        <v>704</v>
      </c>
      <c r="K6" s="16">
        <f>IF(J6="","",IFERROR(($B$16-$B$17*J6)/$B$16,""))</f>
        <v>0.68789924433249372</v>
      </c>
      <c r="L6" s="17" t="str">
        <f>IF(K6="","",IF(K6&gt;=0.6,"Đạt","Dưới ngưỡng"))</f>
        <v>Đạt</v>
      </c>
      <c r="M6" s="17" t="str">
        <f>IF(E6="","",IF(SUMPRODUCT(--ISNUMBER(SEARCH({"0","1","2","3","4","5","6","7","8","9"},E6)))&gt;0,"Có","Thiếu"))</f>
        <v>Có</v>
      </c>
    </row>
    <row r="7" spans="1:13" ht="48" customHeight="1" x14ac:dyDescent="0.3">
      <c r="A7" s="10">
        <v>2</v>
      </c>
      <c r="B7" s="7" t="s">
        <v>131</v>
      </c>
      <c r="C7" s="7" t="s">
        <v>132</v>
      </c>
      <c r="D7" s="7" t="s">
        <v>133</v>
      </c>
      <c r="E7" s="7" t="s">
        <v>134</v>
      </c>
      <c r="F7" s="7" t="s">
        <v>135</v>
      </c>
      <c r="G7" s="7" t="s">
        <v>136</v>
      </c>
      <c r="H7" s="14">
        <v>0.1</v>
      </c>
      <c r="I7" s="13" t="s">
        <v>124</v>
      </c>
      <c r="J7" s="15">
        <f>IF(H7="","",$B$12+$B$13+IF(I7="Người của mình",H7*$B$14*$B$15/60,0))</f>
        <v>579</v>
      </c>
      <c r="K7" s="16">
        <f>IF(J7="","",IFERROR(($B$16-$B$17*J7)/$B$16,""))</f>
        <v>0.74331486146095715</v>
      </c>
      <c r="L7" s="17" t="str">
        <f>IF(K7="","",IF(K7&gt;=0.6,"Đạt","Dưới ngưỡng"))</f>
        <v>Đạt</v>
      </c>
      <c r="M7" s="17" t="str">
        <f>IF(E7="","",IF(SUMPRODUCT(--ISNUMBER(SEARCH({"0","1","2","3","4","5","6","7","8","9"},E7)))&gt;0,"Có","Thiếu"))</f>
        <v>Có</v>
      </c>
    </row>
    <row r="8" spans="1:13" ht="48" customHeight="1" x14ac:dyDescent="0.3">
      <c r="A8" s="10">
        <v>3</v>
      </c>
      <c r="B8" s="7" t="s">
        <v>137</v>
      </c>
      <c r="C8" s="7" t="s">
        <v>138</v>
      </c>
      <c r="D8" s="7" t="s">
        <v>139</v>
      </c>
      <c r="E8" s="7" t="s">
        <v>140</v>
      </c>
      <c r="F8" s="7" t="s">
        <v>141</v>
      </c>
      <c r="G8" s="7" t="s">
        <v>142</v>
      </c>
      <c r="H8" s="14">
        <v>0.05</v>
      </c>
      <c r="I8" s="13" t="s">
        <v>124</v>
      </c>
      <c r="J8" s="15">
        <f>IF(H8="","",$B$12+$B$13+IF(I8="Người của mình",H8*$B$14*$B$15/60,0))</f>
        <v>516.5</v>
      </c>
      <c r="K8" s="16">
        <f>IF(J8="","",IFERROR(($B$16-$B$17*J8)/$B$16,""))</f>
        <v>0.77102267002518887</v>
      </c>
      <c r="L8" s="17" t="str">
        <f>IF(K8="","",IF(K8&gt;=0.6,"Đạt","Dưới ngưỡng"))</f>
        <v>Đạt</v>
      </c>
      <c r="M8" s="17" t="str">
        <f>IF(E8="","",IF(SUMPRODUCT(--ISNUMBER(SEARCH({"0","1","2","3","4","5","6","7","8","9"},E8)))&gt;0,"Có","Thiếu"))</f>
        <v>Có</v>
      </c>
    </row>
    <row r="11" spans="1:13" ht="15" customHeight="1" x14ac:dyDescent="0.3">
      <c r="A11" s="8" t="s">
        <v>143</v>
      </c>
    </row>
    <row r="12" spans="1:13" ht="15" customHeight="1" x14ac:dyDescent="0.3">
      <c r="A12" s="18" t="s">
        <v>144</v>
      </c>
      <c r="B12" s="19">
        <v>254</v>
      </c>
      <c r="C12" s="20" t="s">
        <v>145</v>
      </c>
    </row>
    <row r="13" spans="1:13" ht="15" customHeight="1" x14ac:dyDescent="0.3">
      <c r="A13" s="18" t="s">
        <v>146</v>
      </c>
      <c r="B13" s="19">
        <v>200</v>
      </c>
      <c r="C13" s="20" t="s">
        <v>147</v>
      </c>
    </row>
    <row r="14" spans="1:13" ht="15" customHeight="1" x14ac:dyDescent="0.3">
      <c r="A14" s="18" t="s">
        <v>148</v>
      </c>
      <c r="B14" s="21">
        <v>1.5</v>
      </c>
      <c r="C14" s="20" t="s">
        <v>149</v>
      </c>
    </row>
    <row r="15" spans="1:13" ht="15" customHeight="1" x14ac:dyDescent="0.3">
      <c r="A15" s="18" t="s">
        <v>150</v>
      </c>
      <c r="B15" s="19">
        <v>50000</v>
      </c>
      <c r="C15" s="20" t="s">
        <v>151</v>
      </c>
    </row>
    <row r="16" spans="1:13" ht="15" customHeight="1" x14ac:dyDescent="0.3">
      <c r="A16" s="18" t="s">
        <v>152</v>
      </c>
      <c r="B16" s="19">
        <v>3970000</v>
      </c>
      <c r="C16" s="20" t="s">
        <v>153</v>
      </c>
    </row>
    <row r="17" spans="1:3" ht="15" customHeight="1" x14ac:dyDescent="0.3">
      <c r="A17" s="18" t="s">
        <v>154</v>
      </c>
      <c r="B17" s="19">
        <v>1760</v>
      </c>
      <c r="C17" s="20" t="s">
        <v>155</v>
      </c>
    </row>
    <row r="18" spans="1:3" ht="15" customHeight="1" x14ac:dyDescent="0.3">
      <c r="A18" s="18" t="s">
        <v>156</v>
      </c>
      <c r="B18" s="13" t="s">
        <v>157</v>
      </c>
      <c r="C18" s="20" t="s">
        <v>158</v>
      </c>
    </row>
    <row r="19" spans="1:3" ht="15" customHeight="1" x14ac:dyDescent="0.3">
      <c r="A19" s="18" t="s">
        <v>159</v>
      </c>
      <c r="B19" s="13" t="s">
        <v>160</v>
      </c>
      <c r="C19" s="20" t="s">
        <v>161</v>
      </c>
    </row>
    <row r="20" spans="1:3" ht="15" customHeight="1" x14ac:dyDescent="0.3">
      <c r="A20" s="18" t="s">
        <v>162</v>
      </c>
      <c r="B20" s="22">
        <v>7</v>
      </c>
      <c r="C20" s="20" t="s">
        <v>163</v>
      </c>
    </row>
    <row r="22" spans="1:3" ht="15" customHeight="1" x14ac:dyDescent="0.3">
      <c r="A22" s="20" t="s">
        <v>164</v>
      </c>
    </row>
    <row r="23" spans="1:3" ht="15" customHeight="1" x14ac:dyDescent="0.3">
      <c r="A23" s="20"/>
    </row>
  </sheetData>
  <sheetProtection sheet="1" formatColumns="0" formatRows="0"/>
  <dataValidations count="2">
    <dataValidation type="list" allowBlank="1" sqref="I5:I8" xr:uid="{00000000-0002-0000-0300-000000000000}">
      <formula1>"Người của mình,Nhân viên cửa hàng"</formula1>
      <formula2>0</formula2>
    </dataValidation>
    <dataValidation type="decimal" allowBlank="1" sqref="H5:H8" xr:uid="{00000000-0002-0000-03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zoomScaleNormal="100" workbookViewId="0"/>
  </sheetViews>
  <sheetFormatPr defaultColWidth="8.6640625" defaultRowHeight="14.4" x14ac:dyDescent="0.3"/>
  <cols>
    <col min="1" max="1" width="30" customWidth="1"/>
    <col min="2" max="4" width="42" customWidth="1"/>
  </cols>
  <sheetData>
    <row r="1" spans="1:4" ht="17.25" customHeight="1" x14ac:dyDescent="0.3">
      <c r="A1" s="1" t="s">
        <v>165</v>
      </c>
    </row>
    <row r="2" spans="1:4" ht="15" customHeight="1" x14ac:dyDescent="0.3">
      <c r="A2" s="2" t="s">
        <v>166</v>
      </c>
    </row>
    <row r="4" spans="1:4" ht="15" customHeight="1" x14ac:dyDescent="0.3">
      <c r="A4" s="9" t="s">
        <v>167</v>
      </c>
      <c r="B4" s="9" t="s">
        <v>168</v>
      </c>
      <c r="C4" s="9" t="s">
        <v>169</v>
      </c>
      <c r="D4" s="9" t="s">
        <v>170</v>
      </c>
    </row>
    <row r="5" spans="1:4" ht="48" customHeight="1" x14ac:dyDescent="0.3">
      <c r="A5" s="23" t="s">
        <v>171</v>
      </c>
      <c r="B5" s="7" t="s">
        <v>172</v>
      </c>
      <c r="C5" s="7" t="s">
        <v>173</v>
      </c>
      <c r="D5" s="7" t="s">
        <v>174</v>
      </c>
    </row>
    <row r="6" spans="1:4" ht="48" customHeight="1" x14ac:dyDescent="0.3">
      <c r="A6" s="23" t="s">
        <v>175</v>
      </c>
      <c r="B6" s="7" t="s">
        <v>176</v>
      </c>
      <c r="C6" s="7" t="s">
        <v>177</v>
      </c>
      <c r="D6" s="7" t="s">
        <v>178</v>
      </c>
    </row>
    <row r="7" spans="1:4" ht="48" customHeight="1" x14ac:dyDescent="0.3">
      <c r="A7" s="23" t="s">
        <v>51</v>
      </c>
      <c r="B7" s="7" t="s">
        <v>179</v>
      </c>
      <c r="C7" s="7" t="s">
        <v>180</v>
      </c>
      <c r="D7" s="7" t="s">
        <v>181</v>
      </c>
    </row>
    <row r="8" spans="1:4" ht="48" customHeight="1" x14ac:dyDescent="0.3">
      <c r="A8" s="23" t="s">
        <v>182</v>
      </c>
      <c r="B8" s="7" t="s">
        <v>183</v>
      </c>
      <c r="C8" s="7" t="s">
        <v>184</v>
      </c>
      <c r="D8" s="7" t="s">
        <v>185</v>
      </c>
    </row>
    <row r="9" spans="1:4" ht="48" customHeight="1" x14ac:dyDescent="0.3">
      <c r="A9" s="23" t="s">
        <v>186</v>
      </c>
      <c r="B9" s="7" t="s">
        <v>187</v>
      </c>
      <c r="C9" s="7" t="s">
        <v>188</v>
      </c>
      <c r="D9" s="7" t="s">
        <v>189</v>
      </c>
    </row>
    <row r="10" spans="1:4" ht="48" customHeight="1" x14ac:dyDescent="0.3">
      <c r="A10" s="23" t="s">
        <v>190</v>
      </c>
      <c r="B10" s="7" t="s">
        <v>191</v>
      </c>
      <c r="C10" s="7" t="s">
        <v>192</v>
      </c>
      <c r="D10" s="7" t="s">
        <v>193</v>
      </c>
    </row>
    <row r="11" spans="1:4" ht="48" customHeight="1" x14ac:dyDescent="0.3">
      <c r="A11" s="23" t="s">
        <v>194</v>
      </c>
      <c r="B11" s="7" t="s">
        <v>195</v>
      </c>
      <c r="C11" s="7" t="s">
        <v>196</v>
      </c>
      <c r="D11" s="7" t="s">
        <v>197</v>
      </c>
    </row>
    <row r="12" spans="1:4" ht="48" customHeight="1" x14ac:dyDescent="0.3">
      <c r="A12" s="23" t="s">
        <v>198</v>
      </c>
      <c r="B12" s="7" t="s">
        <v>199</v>
      </c>
      <c r="C12" s="7" t="s">
        <v>200</v>
      </c>
      <c r="D12" s="7" t="s">
        <v>201</v>
      </c>
    </row>
  </sheetData>
  <sheetProtection sheet="1" formatColumns="0" formatRows="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Normal="100" workbookViewId="0"/>
  </sheetViews>
  <sheetFormatPr defaultColWidth="8.6640625" defaultRowHeight="14.4" x14ac:dyDescent="0.3"/>
  <cols>
    <col min="1" max="1" width="34" customWidth="1"/>
    <col min="2" max="3" width="40" customWidth="1"/>
    <col min="4" max="4" width="28" customWidth="1"/>
  </cols>
  <sheetData>
    <row r="1" spans="1:4" ht="17.25" customHeight="1" x14ac:dyDescent="0.3">
      <c r="A1" s="1" t="s">
        <v>202</v>
      </c>
    </row>
    <row r="2" spans="1:4" ht="15" customHeight="1" x14ac:dyDescent="0.3">
      <c r="A2" s="2" t="s">
        <v>203</v>
      </c>
    </row>
    <row r="4" spans="1:4" ht="15" customHeight="1" x14ac:dyDescent="0.3">
      <c r="A4" s="9" t="s">
        <v>204</v>
      </c>
      <c r="B4" s="9" t="s">
        <v>205</v>
      </c>
      <c r="C4" s="9" t="s">
        <v>206</v>
      </c>
      <c r="D4" s="9" t="s">
        <v>207</v>
      </c>
    </row>
    <row r="5" spans="1:4" ht="15" customHeight="1" x14ac:dyDescent="0.3">
      <c r="A5" s="7" t="s">
        <v>208</v>
      </c>
      <c r="B5" s="7" t="s">
        <v>209</v>
      </c>
      <c r="C5" s="7" t="s">
        <v>210</v>
      </c>
      <c r="D5" s="7" t="s">
        <v>211</v>
      </c>
    </row>
    <row r="6" spans="1:4" ht="15" customHeight="1" x14ac:dyDescent="0.3">
      <c r="A6" s="7" t="s">
        <v>212</v>
      </c>
      <c r="B6" s="7" t="s">
        <v>213</v>
      </c>
      <c r="C6" s="7" t="s">
        <v>214</v>
      </c>
      <c r="D6" s="7" t="s">
        <v>215</v>
      </c>
    </row>
    <row r="7" spans="1:4" ht="15" customHeight="1" x14ac:dyDescent="0.3">
      <c r="A7" s="7" t="s">
        <v>216</v>
      </c>
      <c r="B7" s="7" t="s">
        <v>217</v>
      </c>
      <c r="C7" s="7" t="s">
        <v>218</v>
      </c>
      <c r="D7" s="7" t="s">
        <v>219</v>
      </c>
    </row>
    <row r="8" spans="1:4" ht="15" customHeight="1" x14ac:dyDescent="0.3">
      <c r="A8" s="7" t="s">
        <v>220</v>
      </c>
      <c r="B8" s="7" t="s">
        <v>221</v>
      </c>
      <c r="C8" s="7" t="s">
        <v>222</v>
      </c>
      <c r="D8" s="7" t="s">
        <v>223</v>
      </c>
    </row>
    <row r="9" spans="1:4" ht="15" customHeight="1" x14ac:dyDescent="0.3">
      <c r="A9" s="7" t="s">
        <v>224</v>
      </c>
      <c r="B9" s="7" t="s">
        <v>225</v>
      </c>
      <c r="C9" s="7" t="s">
        <v>226</v>
      </c>
      <c r="D9" s="7" t="s">
        <v>219</v>
      </c>
    </row>
    <row r="10" spans="1:4" ht="15" customHeight="1" x14ac:dyDescent="0.3">
      <c r="A10" s="7" t="s">
        <v>227</v>
      </c>
      <c r="B10" s="7" t="s">
        <v>228</v>
      </c>
      <c r="C10" s="7" t="s">
        <v>229</v>
      </c>
      <c r="D10" s="7" t="s">
        <v>230</v>
      </c>
    </row>
    <row r="12" spans="1:4" ht="15" customHeight="1" x14ac:dyDescent="0.3">
      <c r="A12" s="20" t="s">
        <v>231</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zoomScaleNormal="100" workbookViewId="0"/>
  </sheetViews>
  <sheetFormatPr defaultColWidth="8.6640625" defaultRowHeight="14.4" x14ac:dyDescent="0.3"/>
  <cols>
    <col min="1" max="1" width="32" customWidth="1"/>
    <col min="2" max="2" width="90" customWidth="1"/>
    <col min="3" max="3" width="8" customWidth="1"/>
    <col min="4" max="4" width="12" customWidth="1"/>
  </cols>
  <sheetData>
    <row r="1" spans="1:4" ht="17.25" customHeight="1" x14ac:dyDescent="0.3">
      <c r="A1" s="1" t="s">
        <v>232</v>
      </c>
    </row>
    <row r="2" spans="1:4" ht="15" customHeight="1" x14ac:dyDescent="0.3">
      <c r="A2" s="2" t="s">
        <v>233</v>
      </c>
    </row>
    <row r="3" spans="1:4" ht="15" customHeight="1" x14ac:dyDescent="0.3">
      <c r="C3" s="24" t="s">
        <v>234</v>
      </c>
      <c r="D3" s="24" t="s">
        <v>235</v>
      </c>
    </row>
    <row r="4" spans="1:4" ht="33.75" customHeight="1" x14ac:dyDescent="0.3">
      <c r="A4" s="24" t="s">
        <v>236</v>
      </c>
      <c r="B4" s="7" t="s">
        <v>237</v>
      </c>
      <c r="C4" s="25">
        <f>IF(TRIM(B4)="",0,LEN(TRIM(B4))-LEN(SUBSTITUTE(TRIM(B4)," ",""))+1)</f>
        <v>33</v>
      </c>
      <c r="D4" s="17" t="str">
        <f>IF(C4=0,"Trống",IF(C4&gt;60,"Quá 60 chữ","Đạt"))</f>
        <v>Đạt</v>
      </c>
    </row>
    <row r="5" spans="1:4" ht="33.75" customHeight="1" x14ac:dyDescent="0.3">
      <c r="A5" s="24" t="s">
        <v>238</v>
      </c>
      <c r="B5" s="7" t="s">
        <v>239</v>
      </c>
      <c r="C5" s="25">
        <f>IF(TRIM(B5)="",0,LEN(TRIM(B5))-LEN(SUBSTITUTE(TRIM(B5)," ",""))+1)</f>
        <v>44</v>
      </c>
      <c r="D5" s="17" t="str">
        <f>IF(C5=0,"Trống",IF(C5&gt;60,"Quá 60 chữ","Đạt"))</f>
        <v>Đạt</v>
      </c>
    </row>
    <row r="6" spans="1:4" ht="33.75" customHeight="1" x14ac:dyDescent="0.3">
      <c r="A6" s="24" t="s">
        <v>240</v>
      </c>
      <c r="B6" s="7" t="s">
        <v>241</v>
      </c>
      <c r="C6" s="25">
        <f>IF(TRIM(B6)="",0,LEN(TRIM(B6))-LEN(SUBSTITUTE(TRIM(B6)," ",""))+1)</f>
        <v>29</v>
      </c>
      <c r="D6" s="17" t="str">
        <f>IF(C6=0,"Trống",IF(C6&gt;60,"Quá 60 chữ","Đạt"))</f>
        <v>Đạt</v>
      </c>
    </row>
    <row r="7" spans="1:4" ht="33.75" customHeight="1" x14ac:dyDescent="0.3">
      <c r="A7" s="24" t="s">
        <v>242</v>
      </c>
      <c r="B7" s="7" t="s">
        <v>243</v>
      </c>
      <c r="C7" s="25">
        <f>IF(TRIM(B7)="",0,LEN(TRIM(B7))-LEN(SUBSTITUTE(TRIM(B7)," ",""))+1)</f>
        <v>34</v>
      </c>
      <c r="D7" s="17" t="str">
        <f>IF(C7=0,"Trống",IF(C7&gt;60,"Quá 60 chữ","Đạt"))</f>
        <v>Đạt</v>
      </c>
    </row>
    <row r="8" spans="1:4" ht="33.75" customHeight="1" x14ac:dyDescent="0.3">
      <c r="A8" s="24" t="s">
        <v>244</v>
      </c>
      <c r="B8" s="7" t="s">
        <v>245</v>
      </c>
      <c r="C8" s="25">
        <f>IF(TRIM(B8)="",0,LEN(TRIM(B8))-LEN(SUBSTITUTE(TRIM(B8)," ",""))+1)</f>
        <v>24</v>
      </c>
      <c r="D8" s="17" t="str">
        <f>IF(C8=0,"Trống",IF(C8&gt;60,"Quá 60 chữ","Đạt"))</f>
        <v>Đạt</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zoomScaleNormal="100" workbookViewId="0"/>
  </sheetViews>
  <sheetFormatPr defaultColWidth="8.6640625" defaultRowHeight="14.4" x14ac:dyDescent="0.3"/>
  <cols>
    <col min="1" max="1" width="66" customWidth="1"/>
    <col min="2" max="3" width="14" customWidth="1"/>
  </cols>
  <sheetData>
    <row r="1" spans="1:3" ht="17.25" customHeight="1" x14ac:dyDescent="0.3">
      <c r="A1" s="1" t="s">
        <v>246</v>
      </c>
    </row>
    <row r="2" spans="1:3" ht="15" customHeight="1" x14ac:dyDescent="0.3">
      <c r="A2" s="2" t="s">
        <v>247</v>
      </c>
    </row>
    <row r="4" spans="1:3" ht="15" customHeight="1" x14ac:dyDescent="0.3">
      <c r="A4" s="9" t="s">
        <v>248</v>
      </c>
      <c r="B4" s="9" t="s">
        <v>249</v>
      </c>
      <c r="C4" s="9" t="s">
        <v>235</v>
      </c>
    </row>
    <row r="5" spans="1:3" ht="15" customHeight="1" x14ac:dyDescent="0.3">
      <c r="A5" s="10" t="s">
        <v>250</v>
      </c>
      <c r="B5" s="11">
        <f>COUNT('1_Danh sách việc'!M5:M14)</f>
        <v>7</v>
      </c>
      <c r="C5" s="11" t="str">
        <f>IF(B5&gt;=5,"Đạt","Xem lại")</f>
        <v>Đạt</v>
      </c>
    </row>
    <row r="6" spans="1:3" ht="15" customHeight="1" x14ac:dyDescent="0.3">
      <c r="A6" s="10" t="s">
        <v>251</v>
      </c>
      <c r="B6" s="11">
        <f>COUNTIFS('1_Danh sách việc'!O5:O14,"Thiếu",'1_Danh sách việc'!P5:P14,"&lt;&gt;Không làm")</f>
        <v>0</v>
      </c>
      <c r="C6" s="11" t="str">
        <f>IF(B5=0,"",IF(B6=0,"Đạt","Xem lại"))</f>
        <v>Đạt</v>
      </c>
    </row>
    <row r="7" spans="1:3" ht="15" customHeight="1" x14ac:dyDescent="0.3">
      <c r="A7" s="10" t="s">
        <v>252</v>
      </c>
      <c r="B7" s="11">
        <f>COUNTIF('2_Mức tự động'!M6:M8,"Có")</f>
        <v>3</v>
      </c>
      <c r="C7" s="11" t="str">
        <f>IF(B7&gt;=2,"Đạt","Xem lại")</f>
        <v>Đạt</v>
      </c>
    </row>
    <row r="8" spans="1:3" ht="15" customHeight="1" x14ac:dyDescent="0.3">
      <c r="A8" s="10" t="s">
        <v>253</v>
      </c>
      <c r="B8" s="11">
        <f>COUNTA('3_Bảng lộ trình'!B5:B12)</f>
        <v>8</v>
      </c>
      <c r="C8" s="11" t="str">
        <f>IF(B8=8,"Đạt","Xem lại")</f>
        <v>Đạt</v>
      </c>
    </row>
    <row r="9" spans="1:3" ht="15" customHeight="1" x14ac:dyDescent="0.3">
      <c r="A9" s="10" t="s">
        <v>254</v>
      </c>
      <c r="B9" s="11" t="str">
        <f>IF(AND(LEN('3_Bảng lộ trình'!B12)&gt;10,SUMPRODUCT(--ISNUMBER(SEARCH({"0","1","2","3","4","5","6","7","8","9"},'3_Bảng lộ trình'!B12)))&gt;0),"Có","Chưa")</f>
        <v>Có</v>
      </c>
      <c r="C9" s="11" t="str">
        <f>IF(B9="Có","Đạt","Xem lại")</f>
        <v>Đạt</v>
      </c>
    </row>
    <row r="10" spans="1:3" ht="15" customHeight="1" x14ac:dyDescent="0.3">
      <c r="A10" s="10" t="s">
        <v>255</v>
      </c>
      <c r="B10" s="11" t="str">
        <f>IF(AND(LEN('3_Bảng lộ trình'!B11)&gt;10,SUMPRODUCT(--ISNUMBER(SEARCH({"0","1","2","3","4","5","6","7","8","9"},'3_Bảng lộ trình'!B11)))&gt;0),"Có","Chưa")</f>
        <v>Có</v>
      </c>
      <c r="C10" s="11" t="str">
        <f>IF(B10="Có","Đạt","Xem lại")</f>
        <v>Đạt</v>
      </c>
    </row>
    <row r="11" spans="1:3" ht="15" customHeight="1" x14ac:dyDescent="0.3">
      <c r="A11" s="10" t="s">
        <v>256</v>
      </c>
      <c r="B11" s="11">
        <f>COUNTIF('5_Slide lãnh đạo'!D4:D8,"Đạt")</f>
        <v>5</v>
      </c>
      <c r="C11" s="11" t="str">
        <f>IF(B11=5,"Đạt","Xem lại")</f>
        <v>Đạt</v>
      </c>
    </row>
    <row r="12" spans="1:3" ht="15" customHeight="1" x14ac:dyDescent="0.3">
      <c r="A12" s="10" t="s">
        <v>257</v>
      </c>
      <c r="B12" s="11">
        <f>COUNTIF('2_Mức tự động'!L5:L8,"Đạt")</f>
        <v>3</v>
      </c>
      <c r="C12" s="11" t="str">
        <f>IF(B12&gt;=1,"Đạt","Xem lại")</f>
        <v>Đạt</v>
      </c>
    </row>
  </sheetData>
  <sheetProtection sheet="1" formatColumns="0" formatRows="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Normal="100" workbookViewId="0"/>
  </sheetViews>
  <sheetFormatPr defaultColWidth="8.6640625" defaultRowHeight="14.4" x14ac:dyDescent="0.3"/>
  <cols>
    <col min="1" max="1" width="32" customWidth="1"/>
    <col min="2" max="2" width="30" customWidth="1"/>
    <col min="3" max="3" width="80" customWidth="1"/>
    <col min="4" max="4" width="40" customWidth="1"/>
  </cols>
  <sheetData>
    <row r="1" spans="1:4" ht="17.25" customHeight="1" x14ac:dyDescent="0.3">
      <c r="A1" s="1" t="s">
        <v>258</v>
      </c>
    </row>
    <row r="2" spans="1:4" ht="15" customHeight="1" x14ac:dyDescent="0.3">
      <c r="A2" s="2"/>
    </row>
    <row r="4" spans="1:4" ht="15" customHeight="1" x14ac:dyDescent="0.3">
      <c r="A4" s="9" t="s">
        <v>259</v>
      </c>
      <c r="B4" s="9" t="s">
        <v>260</v>
      </c>
      <c r="C4" s="9" t="s">
        <v>261</v>
      </c>
      <c r="D4" s="9" t="s">
        <v>262</v>
      </c>
    </row>
    <row r="5" spans="1:4" ht="15" customHeight="1" x14ac:dyDescent="0.3">
      <c r="A5" s="10" t="s">
        <v>263</v>
      </c>
      <c r="B5">
        <v>20</v>
      </c>
      <c r="C5" s="26" t="s">
        <v>264</v>
      </c>
      <c r="D5" s="27"/>
    </row>
    <row r="6" spans="1:4" ht="15" customHeight="1" x14ac:dyDescent="0.3">
      <c r="A6" s="10" t="s">
        <v>265</v>
      </c>
      <c r="B6">
        <v>20</v>
      </c>
      <c r="C6" s="26" t="s">
        <v>266</v>
      </c>
      <c r="D6" s="27"/>
    </row>
    <row r="7" spans="1:4" ht="15" customHeight="1" x14ac:dyDescent="0.3">
      <c r="A7" s="10" t="s">
        <v>267</v>
      </c>
      <c r="B7">
        <v>25</v>
      </c>
      <c r="C7" s="26" t="s">
        <v>268</v>
      </c>
      <c r="D7" s="27"/>
    </row>
    <row r="8" spans="1:4" ht="15" customHeight="1" x14ac:dyDescent="0.3">
      <c r="A8" s="10" t="s">
        <v>269</v>
      </c>
      <c r="B8">
        <v>15</v>
      </c>
      <c r="C8" s="26" t="s">
        <v>270</v>
      </c>
      <c r="D8" s="27"/>
    </row>
    <row r="9" spans="1:4" ht="15" customHeight="1" x14ac:dyDescent="0.3">
      <c r="A9" s="10" t="s">
        <v>271</v>
      </c>
      <c r="B9">
        <v>20</v>
      </c>
      <c r="C9" s="26" t="s">
        <v>272</v>
      </c>
      <c r="D9" s="27"/>
    </row>
    <row r="10" spans="1:4" ht="15" customHeight="1" x14ac:dyDescent="0.3">
      <c r="A10" s="8" t="s">
        <v>273</v>
      </c>
      <c r="B10">
        <f>SUM(B5:B9)</f>
        <v>100</v>
      </c>
      <c r="D10" s="11">
        <f>SUM(D5:D9)</f>
        <v>0</v>
      </c>
    </row>
    <row r="12" spans="1:4" ht="15" customHeight="1" x14ac:dyDescent="0.3">
      <c r="A12" s="8"/>
      <c r="D12" s="27"/>
    </row>
    <row r="15" spans="1:4" ht="15" customHeight="1" x14ac:dyDescent="0.3">
      <c r="A15" s="28" t="s">
        <v>274</v>
      </c>
    </row>
    <row r="16" spans="1:4" ht="15" customHeight="1" x14ac:dyDescent="0.3">
      <c r="A16" s="9" t="s">
        <v>259</v>
      </c>
      <c r="B16" s="9" t="s">
        <v>275</v>
      </c>
      <c r="C16" s="9" t="s">
        <v>276</v>
      </c>
      <c r="D16" s="9" t="s">
        <v>277</v>
      </c>
    </row>
    <row r="17" spans="1:4" ht="45.75" customHeight="1" x14ac:dyDescent="0.3">
      <c r="A17" s="29" t="s">
        <v>278</v>
      </c>
      <c r="B17" s="30" t="s">
        <v>279</v>
      </c>
      <c r="C17" s="30" t="s">
        <v>280</v>
      </c>
      <c r="D17" s="30" t="s">
        <v>281</v>
      </c>
    </row>
    <row r="18" spans="1:4" ht="45.75" customHeight="1" x14ac:dyDescent="0.3">
      <c r="A18" s="29" t="s">
        <v>282</v>
      </c>
      <c r="B18" s="30" t="s">
        <v>283</v>
      </c>
      <c r="C18" s="30" t="s">
        <v>284</v>
      </c>
      <c r="D18" s="30" t="s">
        <v>285</v>
      </c>
    </row>
    <row r="19" spans="1:4" ht="45.75" customHeight="1" x14ac:dyDescent="0.3">
      <c r="A19" s="29" t="s">
        <v>286</v>
      </c>
      <c r="B19" s="30" t="s">
        <v>287</v>
      </c>
      <c r="C19" s="30" t="s">
        <v>288</v>
      </c>
      <c r="D19" s="30" t="s">
        <v>289</v>
      </c>
    </row>
    <row r="20" spans="1:4" ht="45.75" customHeight="1" x14ac:dyDescent="0.3">
      <c r="A20" s="29" t="s">
        <v>290</v>
      </c>
      <c r="B20" s="30" t="s">
        <v>291</v>
      </c>
      <c r="C20" s="30" t="s">
        <v>292</v>
      </c>
      <c r="D20" s="30" t="s">
        <v>293</v>
      </c>
    </row>
    <row r="22" spans="1:4" ht="15" customHeight="1" x14ac:dyDescent="0.3">
      <c r="A22" s="20" t="s">
        <v>294</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0_Hướng dẫn</vt:lpstr>
      <vt:lpstr>0_Đầu vào</vt:lpstr>
      <vt:lpstr>1_Danh sách việc</vt:lpstr>
      <vt:lpstr>2_Mức tự động</vt:lpstr>
      <vt:lpstr>3_Bảng lộ trình</vt:lpstr>
      <vt:lpstr>4_Rà soát</vt:lpstr>
      <vt:lpstr>5_Slide lãnh đạo</vt:lpstr>
      <vt:lpstr>6_Tự kiểm tra</vt:lpstr>
      <vt:lpstr>7_Thang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THI THU TRANG (S.AI.20K)</cp:lastModifiedBy>
  <cp:revision>0</cp:revision>
  <dcterms:created xsi:type="dcterms:W3CDTF">2026-10-04T05:24:07Z</dcterms:created>
  <dcterms:modified xsi:type="dcterms:W3CDTF">2026-10-16T09:40:39Z</dcterms:modified>
  <dc:language>en-US</dc:language>
</cp:coreProperties>
</file>